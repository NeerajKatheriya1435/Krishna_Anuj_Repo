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Krishna_Anuj_DA\Excel_Practice_Files\"/>
    </mc:Choice>
  </mc:AlternateContent>
  <xr:revisionPtr revIDLastSave="0" documentId="13_ncr:201_{627F218B-164C-40A5-A451-DB670FF7A3A1}" xr6:coauthVersionLast="36" xr6:coauthVersionMax="36" xr10:uidLastSave="{00000000-0000-0000-0000-000000000000}"/>
  <bookViews>
    <workbookView xWindow="0" yWindow="0" windowWidth="22260" windowHeight="12648" tabRatio="797" activeTab="3" xr2:uid="{00000000-000D-0000-FFFF-FFFF00000000}"/>
  </bookViews>
  <sheets>
    <sheet name="Day 1 Practice" sheetId="1" r:id="rId1"/>
    <sheet name="Day1InsertTab" sheetId="7" r:id="rId2"/>
    <sheet name="Day 2 Practice" sheetId="3" r:id="rId3"/>
    <sheet name="Sheet1" sheetId="8" r:id="rId4"/>
    <sheet name="Sheet3" sheetId="10" r:id="rId5"/>
    <sheet name="SalesData" sheetId="9" r:id="rId6"/>
    <sheet name="Day 3 Pratice" sheetId="2" r:id="rId7"/>
    <sheet name="Practice Maths Formule" sheetId="4" r:id="rId8"/>
    <sheet name="Practice Text Formule" sheetId="5" r:id="rId9"/>
    <sheet name="Practice Logical Formule" sheetId="6" r:id="rId10"/>
  </sheets>
  <definedNames>
    <definedName name="_xlcn.WorksheetConnection_Day1InsertTabA1B1161" hidden="1">Day1InsertTab!$A$1:$B$116</definedName>
  </definedNames>
  <calcPr calcId="191029"/>
  <pivotCaches>
    <pivotCache cacheId="25" r:id="rId11"/>
    <pivotCache cacheId="16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ay1InsertTab!$A$1:$B$116"/>
        </x15:modelTables>
      </x15:dataModel>
    </ext>
  </extLst>
</workbook>
</file>

<file path=xl/calcChain.xml><?xml version="1.0" encoding="utf-8"?>
<calcChain xmlns="http://schemas.openxmlformats.org/spreadsheetml/2006/main"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" i="4"/>
  <c r="P3" i="5"/>
  <c r="O4" i="5"/>
  <c r="N2" i="5"/>
  <c r="M3" i="5"/>
  <c r="M4" i="5"/>
  <c r="M5" i="5"/>
  <c r="M6" i="5"/>
  <c r="M7" i="5"/>
  <c r="M8" i="5"/>
  <c r="M9" i="5"/>
  <c r="M10" i="5"/>
  <c r="M2" i="5"/>
  <c r="L2" i="5"/>
  <c r="K2" i="5"/>
  <c r="J3" i="5"/>
  <c r="J4" i="5"/>
  <c r="J5" i="5"/>
  <c r="J6" i="5"/>
  <c r="J7" i="5"/>
  <c r="J8" i="5"/>
  <c r="J9" i="5"/>
  <c r="J10" i="5"/>
  <c r="J2" i="5"/>
  <c r="I3" i="5"/>
  <c r="I4" i="5"/>
  <c r="I5" i="5"/>
  <c r="I6" i="5"/>
  <c r="I7" i="5"/>
  <c r="I8" i="5"/>
  <c r="I9" i="5"/>
  <c r="I10" i="5"/>
  <c r="I2" i="5"/>
  <c r="H3" i="5"/>
  <c r="H4" i="5"/>
  <c r="H5" i="5"/>
  <c r="H6" i="5"/>
  <c r="H7" i="5"/>
  <c r="H8" i="5"/>
  <c r="H9" i="5"/>
  <c r="H10" i="5"/>
  <c r="H2" i="5"/>
  <c r="G3" i="5"/>
  <c r="G4" i="5"/>
  <c r="G5" i="5"/>
  <c r="G6" i="5"/>
  <c r="G7" i="5"/>
  <c r="G8" i="5"/>
  <c r="G9" i="5"/>
  <c r="G10" i="5"/>
  <c r="G2" i="5"/>
  <c r="F3" i="5"/>
  <c r="F4" i="5"/>
  <c r="F5" i="5"/>
  <c r="F6" i="5"/>
  <c r="F7" i="5"/>
  <c r="F8" i="5"/>
  <c r="F9" i="5"/>
  <c r="F10" i="5"/>
  <c r="F2" i="5"/>
  <c r="E3" i="5"/>
  <c r="E4" i="5"/>
  <c r="E5" i="5"/>
  <c r="E6" i="5"/>
  <c r="E7" i="5"/>
  <c r="E8" i="5"/>
  <c r="E9" i="5"/>
  <c r="E10" i="5"/>
  <c r="E2" i="5"/>
  <c r="D3" i="5"/>
  <c r="D4" i="5"/>
  <c r="D5" i="5"/>
  <c r="D6" i="5"/>
  <c r="D7" i="5"/>
  <c r="D8" i="5"/>
  <c r="D9" i="5"/>
  <c r="D10" i="5"/>
  <c r="D2" i="5"/>
  <c r="C88" i="3" l="1"/>
  <c r="C79" i="3"/>
  <c r="C74" i="3"/>
  <c r="C69" i="3"/>
  <c r="C64" i="3"/>
  <c r="C59" i="3"/>
  <c r="C54" i="3"/>
  <c r="C49" i="3"/>
  <c r="C47" i="3"/>
  <c r="C42" i="3"/>
  <c r="C37" i="3"/>
  <c r="C32" i="3"/>
  <c r="C27" i="3"/>
  <c r="C22" i="3"/>
  <c r="C17" i="3"/>
  <c r="C89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193EE1-FFFB-4DCD-8A8F-35A13240724D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EF97620-801B-4661-BF29-49C4B5D832DA}" name="WorksheetConnection_Day1InsertTab!$A$1:$B$116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Day1InsertTabA1B1161"/>
        </x15:connection>
      </ext>
    </extLst>
  </connection>
</connections>
</file>

<file path=xl/sharedStrings.xml><?xml version="1.0" encoding="utf-8"?>
<sst xmlns="http://schemas.openxmlformats.org/spreadsheetml/2006/main" count="6035" uniqueCount="2199">
  <si>
    <t>Sr No.</t>
  </si>
  <si>
    <t>Date</t>
  </si>
  <si>
    <t>Full Name</t>
  </si>
  <si>
    <t>First Name</t>
  </si>
  <si>
    <t>Last Name</t>
  </si>
  <si>
    <t>1st Jan 2022</t>
  </si>
  <si>
    <t>JON YANG</t>
  </si>
  <si>
    <t>JON</t>
  </si>
  <si>
    <t>YANG</t>
  </si>
  <si>
    <t>EUGENE HUANG</t>
  </si>
  <si>
    <t>EUGENE</t>
  </si>
  <si>
    <t>HUANG</t>
  </si>
  <si>
    <t>3st Jan 2022</t>
  </si>
  <si>
    <t>RUBEN TORRES</t>
  </si>
  <si>
    <t>RUBEN</t>
  </si>
  <si>
    <t>TORRES</t>
  </si>
  <si>
    <t>4st Jan 2022</t>
  </si>
  <si>
    <t>CHRISTY ZHU</t>
  </si>
  <si>
    <t>CHRISTY</t>
  </si>
  <si>
    <t>ZHU</t>
  </si>
  <si>
    <t>5st Jan 2022</t>
  </si>
  <si>
    <t>ELIZABETH JOHNSON</t>
  </si>
  <si>
    <t>ELIZABETH</t>
  </si>
  <si>
    <t>JOHNSON</t>
  </si>
  <si>
    <t>6st Jan 2022</t>
  </si>
  <si>
    <t>JULIO RUIZ</t>
  </si>
  <si>
    <t>JULIO</t>
  </si>
  <si>
    <t>RUIZ</t>
  </si>
  <si>
    <t>7st Jan 2022</t>
  </si>
  <si>
    <t>MARCO MEHTA</t>
  </si>
  <si>
    <t>MARCO</t>
  </si>
  <si>
    <t>MEHTA</t>
  </si>
  <si>
    <t>8st Jan 2022</t>
  </si>
  <si>
    <t>ROBIN VERHOFF</t>
  </si>
  <si>
    <t>ROBIN</t>
  </si>
  <si>
    <t>VERHOFF</t>
  </si>
  <si>
    <t>9st Jan 2022</t>
  </si>
  <si>
    <t>SHANNON CARLSON</t>
  </si>
  <si>
    <t>SHANNON</t>
  </si>
  <si>
    <t>CARLSON</t>
  </si>
  <si>
    <t>10st Jan 2022</t>
  </si>
  <si>
    <t>JACQUELYN SUAREZ</t>
  </si>
  <si>
    <t>JACQUELYN</t>
  </si>
  <si>
    <t>SUAREZ</t>
  </si>
  <si>
    <t>11st Jan 2022</t>
  </si>
  <si>
    <t>CURTIS LU</t>
  </si>
  <si>
    <t>CURTIS</t>
  </si>
  <si>
    <t>LU</t>
  </si>
  <si>
    <t>12st Jan 2022</t>
  </si>
  <si>
    <t>LAUREN WALKER</t>
  </si>
  <si>
    <t>LAUREN</t>
  </si>
  <si>
    <t>WALKER</t>
  </si>
  <si>
    <t>13st Jan 2022</t>
  </si>
  <si>
    <t>IAN JENKINS</t>
  </si>
  <si>
    <t>IAN</t>
  </si>
  <si>
    <t>JENKINS</t>
  </si>
  <si>
    <t>14st Jan 2022</t>
  </si>
  <si>
    <t>SYDNEY BENNETT</t>
  </si>
  <si>
    <t>SYDNEY</t>
  </si>
  <si>
    <t>BENNETT</t>
  </si>
  <si>
    <t>15st Jan 2022</t>
  </si>
  <si>
    <t>CHLOE YOUNG</t>
  </si>
  <si>
    <t>CHLOE</t>
  </si>
  <si>
    <t>YOUNG</t>
  </si>
  <si>
    <t>16st Jan 2022</t>
  </si>
  <si>
    <t>WYATT HILL</t>
  </si>
  <si>
    <t>WYATT</t>
  </si>
  <si>
    <t>HILL</t>
  </si>
  <si>
    <t>17st Jan 2022</t>
  </si>
  <si>
    <t>SHANNON WANG</t>
  </si>
  <si>
    <t>WANG</t>
  </si>
  <si>
    <t>18st Jan 2022</t>
  </si>
  <si>
    <t>CLARENCE RAI</t>
  </si>
  <si>
    <t>CLARENCE</t>
  </si>
  <si>
    <t>RAI</t>
  </si>
  <si>
    <t>19st Jan 2022</t>
  </si>
  <si>
    <t>LUKE LAL</t>
  </si>
  <si>
    <t>LUKE</t>
  </si>
  <si>
    <t>LAL</t>
  </si>
  <si>
    <t>20st Jan 2022</t>
  </si>
  <si>
    <t>JORDAN KING</t>
  </si>
  <si>
    <t>JORDAN</t>
  </si>
  <si>
    <t>KING</t>
  </si>
  <si>
    <t>21st Jan 2022</t>
  </si>
  <si>
    <t>DESTINY WILSON</t>
  </si>
  <si>
    <t>DESTINY</t>
  </si>
  <si>
    <t>WILSON</t>
  </si>
  <si>
    <t>22st Jan 2022</t>
  </si>
  <si>
    <t>ETHAN ZHANG</t>
  </si>
  <si>
    <t>ETHAN</t>
  </si>
  <si>
    <t>ZHANG</t>
  </si>
  <si>
    <t>23st Jan 2022</t>
  </si>
  <si>
    <t>SETH EDWARDS</t>
  </si>
  <si>
    <t>SETH</t>
  </si>
  <si>
    <t>EDWARDS</t>
  </si>
  <si>
    <t>24st Jan 2022</t>
  </si>
  <si>
    <t>RUSSELL XIE</t>
  </si>
  <si>
    <t>RUSSELL</t>
  </si>
  <si>
    <t>XIE</t>
  </si>
  <si>
    <t>25st Jan 2022</t>
  </si>
  <si>
    <t>ALEJANDRO BECK</t>
  </si>
  <si>
    <t>ALEJANDRO</t>
  </si>
  <si>
    <t>BECK</t>
  </si>
  <si>
    <t>26st Jan 2022</t>
  </si>
  <si>
    <t>HAROLD SAI</t>
  </si>
  <si>
    <t>HAROLD</t>
  </si>
  <si>
    <t>SAI</t>
  </si>
  <si>
    <t>27st Jan 2022</t>
  </si>
  <si>
    <t>JESSIE ZHAO</t>
  </si>
  <si>
    <t>JESSIE</t>
  </si>
  <si>
    <t>ZHAO</t>
  </si>
  <si>
    <t>28st Jan 2022</t>
  </si>
  <si>
    <t>JILL JIMENEZ</t>
  </si>
  <si>
    <t>JILL</t>
  </si>
  <si>
    <t>JIMENEZ</t>
  </si>
  <si>
    <t>29st Jan 2022</t>
  </si>
  <si>
    <t>JIMMY MORENO</t>
  </si>
  <si>
    <t>JIMMY</t>
  </si>
  <si>
    <t>MORENO</t>
  </si>
  <si>
    <t>30st Jan 2022</t>
  </si>
  <si>
    <t>BETHANY YUAN</t>
  </si>
  <si>
    <t>BETHANY</t>
  </si>
  <si>
    <t>YUAN</t>
  </si>
  <si>
    <t>31st Jan 2022</t>
  </si>
  <si>
    <t>THERESA RAMOS</t>
  </si>
  <si>
    <t>THERESA</t>
  </si>
  <si>
    <t>RAMOS</t>
  </si>
  <si>
    <t>32st Jan 2022</t>
  </si>
  <si>
    <t>DENISE STONE</t>
  </si>
  <si>
    <t>DENISE</t>
  </si>
  <si>
    <t>STONE</t>
  </si>
  <si>
    <t>33st Jan 2022</t>
  </si>
  <si>
    <t>JAIME NATH</t>
  </si>
  <si>
    <t>JAIME</t>
  </si>
  <si>
    <t>NATH</t>
  </si>
  <si>
    <t>34st Jan 2022</t>
  </si>
  <si>
    <t>EBONY GONZALEZ</t>
  </si>
  <si>
    <t>EBONY</t>
  </si>
  <si>
    <t>GONZALEZ</t>
  </si>
  <si>
    <t>35st Jan 2022</t>
  </si>
  <si>
    <t>WENDY DOMINGUEZ</t>
  </si>
  <si>
    <t>WENDY</t>
  </si>
  <si>
    <t>DOMINGUEZ</t>
  </si>
  <si>
    <t>OrderDate</t>
  </si>
  <si>
    <t>Region</t>
  </si>
  <si>
    <t>Manager</t>
  </si>
  <si>
    <t>SalesMan</t>
  </si>
  <si>
    <t>Item</t>
  </si>
  <si>
    <t>Units</t>
  </si>
  <si>
    <t>Unit_price</t>
  </si>
  <si>
    <t>Sale_amt</t>
  </si>
  <si>
    <t>Payment Type</t>
  </si>
  <si>
    <t>Central</t>
  </si>
  <si>
    <t>Hermann</t>
  </si>
  <si>
    <t>Shelli</t>
  </si>
  <si>
    <t>Home Theater</t>
  </si>
  <si>
    <t>CASH</t>
  </si>
  <si>
    <t>Sigal</t>
  </si>
  <si>
    <t>Television</t>
  </si>
  <si>
    <t>Timothy</t>
  </si>
  <si>
    <t>David</t>
  </si>
  <si>
    <t>Luis</t>
  </si>
  <si>
    <t>East</t>
  </si>
  <si>
    <t>Martha</t>
  </si>
  <si>
    <t>Alexander</t>
  </si>
  <si>
    <t>Diana</t>
  </si>
  <si>
    <t>Cell Phone</t>
  </si>
  <si>
    <t>Video Games</t>
  </si>
  <si>
    <t>West</t>
  </si>
  <si>
    <t>Douglas</t>
  </si>
  <si>
    <t>Michael</t>
  </si>
  <si>
    <t>Stephen</t>
  </si>
  <si>
    <t>Desk</t>
  </si>
  <si>
    <t>DEBIT CARD</t>
  </si>
  <si>
    <t>Steven</t>
  </si>
  <si>
    <t>John</t>
  </si>
  <si>
    <t>Karen</t>
  </si>
  <si>
    <t>NET BANKING</t>
  </si>
  <si>
    <t>UPI</t>
  </si>
  <si>
    <t>Student's Name</t>
  </si>
  <si>
    <t>English</t>
  </si>
  <si>
    <t>Hindi</t>
  </si>
  <si>
    <t>Math</t>
  </si>
  <si>
    <t>Science</t>
  </si>
  <si>
    <t>S.S.T</t>
  </si>
  <si>
    <t>Rajesh</t>
  </si>
  <si>
    <t>Mahesh</t>
  </si>
  <si>
    <t>Suresh</t>
  </si>
  <si>
    <t>Harsh</t>
  </si>
  <si>
    <t>Nishant</t>
  </si>
  <si>
    <t>Rohan</t>
  </si>
  <si>
    <t>Staff</t>
  </si>
  <si>
    <t>Department</t>
  </si>
  <si>
    <t>Sales</t>
  </si>
  <si>
    <t>Grocery</t>
  </si>
  <si>
    <t>Garments</t>
  </si>
  <si>
    <t>Nitin</t>
  </si>
  <si>
    <t>Sonu</t>
  </si>
  <si>
    <t>Monu</t>
  </si>
  <si>
    <t>Dharmesh</t>
  </si>
  <si>
    <t>Bhuwan</t>
  </si>
  <si>
    <t>Kabir</t>
  </si>
  <si>
    <t>Nikumbh</t>
  </si>
  <si>
    <t>Jayprakash</t>
  </si>
  <si>
    <t>Shivam</t>
  </si>
  <si>
    <t>Number 1</t>
  </si>
  <si>
    <t>Number 2</t>
  </si>
  <si>
    <t>Sum</t>
  </si>
  <si>
    <t>Multilication</t>
  </si>
  <si>
    <t>Division</t>
  </si>
  <si>
    <t>Subtarction</t>
  </si>
  <si>
    <t>Square</t>
  </si>
  <si>
    <t>Cube</t>
  </si>
  <si>
    <t>Min</t>
  </si>
  <si>
    <t>Max</t>
  </si>
  <si>
    <t>Average</t>
  </si>
  <si>
    <t>Prefix</t>
  </si>
  <si>
    <t>Concat</t>
  </si>
  <si>
    <t>Left</t>
  </si>
  <si>
    <t>Right</t>
  </si>
  <si>
    <t>Mid</t>
  </si>
  <si>
    <t>Upper</t>
  </si>
  <si>
    <t>Lower</t>
  </si>
  <si>
    <t>Proper</t>
  </si>
  <si>
    <t>Find</t>
  </si>
  <si>
    <t>Search</t>
  </si>
  <si>
    <t>Substitute</t>
  </si>
  <si>
    <t>Text</t>
  </si>
  <si>
    <t>Length</t>
  </si>
  <si>
    <t>Replace</t>
  </si>
  <si>
    <t>Mr</t>
  </si>
  <si>
    <t>Shubham</t>
  </si>
  <si>
    <t>Kumar</t>
  </si>
  <si>
    <t>Mrs.</t>
  </si>
  <si>
    <t>Ram</t>
  </si>
  <si>
    <t>Sahu</t>
  </si>
  <si>
    <t>Mohan</t>
  </si>
  <si>
    <t>Pandey</t>
  </si>
  <si>
    <t>Geeta</t>
  </si>
  <si>
    <t>Kumari</t>
  </si>
  <si>
    <t>Susheela</t>
  </si>
  <si>
    <t>Diwakar</t>
  </si>
  <si>
    <t>Muskan</t>
  </si>
  <si>
    <t>Tiwari</t>
  </si>
  <si>
    <t>Pal</t>
  </si>
  <si>
    <t>Cena</t>
  </si>
  <si>
    <t>Peter</t>
  </si>
  <si>
    <t>Parker</t>
  </si>
  <si>
    <t>Name</t>
  </si>
  <si>
    <t>Maths</t>
  </si>
  <si>
    <t>Physics</t>
  </si>
  <si>
    <t>Total</t>
  </si>
  <si>
    <t>Result1 (Total)</t>
  </si>
  <si>
    <t>Result2 (AND)</t>
  </si>
  <si>
    <t>Result3 (OR)</t>
  </si>
  <si>
    <t>Percentage</t>
  </si>
  <si>
    <t>2nd Jan 2022</t>
  </si>
  <si>
    <t>Indian</t>
  </si>
  <si>
    <t>Bhuwan Total</t>
  </si>
  <si>
    <t>Harsh Total</t>
  </si>
  <si>
    <t>Jayprakash Total</t>
  </si>
  <si>
    <t>Kabir Total</t>
  </si>
  <si>
    <t>Mahesh Total</t>
  </si>
  <si>
    <t>Monu Total</t>
  </si>
  <si>
    <t>Suresh Total</t>
  </si>
  <si>
    <t>Dharmesh Total</t>
  </si>
  <si>
    <t>Nikumbh Total</t>
  </si>
  <si>
    <t>Nitin Total</t>
  </si>
  <si>
    <t>Rajesh Total</t>
  </si>
  <si>
    <t>Shivam Total</t>
  </si>
  <si>
    <t>Sonu Total</t>
  </si>
  <si>
    <t>Grand Total</t>
  </si>
  <si>
    <t>Jon Yang</t>
  </si>
  <si>
    <t>Eugene Huang</t>
  </si>
  <si>
    <t>Ruben Torres</t>
  </si>
  <si>
    <t>Christy Zhu</t>
  </si>
  <si>
    <t>Elizabeth Johnson</t>
  </si>
  <si>
    <t>Julio Ruiz</t>
  </si>
  <si>
    <t>Marco Mehta</t>
  </si>
  <si>
    <t>Robin Verhoff</t>
  </si>
  <si>
    <t>Shannon Carlson</t>
  </si>
  <si>
    <t>Jacquelyn Suarez</t>
  </si>
  <si>
    <t>Curtis Lu</t>
  </si>
  <si>
    <t>Lauren Walker</t>
  </si>
  <si>
    <t>Ian Jenkins</t>
  </si>
  <si>
    <t>Sydney Bennett</t>
  </si>
  <si>
    <t>Chloe Young</t>
  </si>
  <si>
    <t>Wyatt Hill</t>
  </si>
  <si>
    <t>Shannon Wang</t>
  </si>
  <si>
    <t>Clarence Rai</t>
  </si>
  <si>
    <t>Luke Lal</t>
  </si>
  <si>
    <t>Jordan King</t>
  </si>
  <si>
    <t>Destiny Wilson</t>
  </si>
  <si>
    <t>Ethan Zhang</t>
  </si>
  <si>
    <t>Seth Edwards</t>
  </si>
  <si>
    <t>Russell Xie</t>
  </si>
  <si>
    <t>Alejandro Beck</t>
  </si>
  <si>
    <t>Harold Sai</t>
  </si>
  <si>
    <t>Jessie Zhao</t>
  </si>
  <si>
    <t>Jill Jimenez</t>
  </si>
  <si>
    <t>Jimmy Moreno</t>
  </si>
  <si>
    <t>Bethany Yuan</t>
  </si>
  <si>
    <t>Theresa Ramos</t>
  </si>
  <si>
    <t>Denise Stone</t>
  </si>
  <si>
    <t>Jaime Nath</t>
  </si>
  <si>
    <t>Ebony Gonzalez</t>
  </si>
  <si>
    <t>Wendy Dominguez</t>
  </si>
  <si>
    <t>Country</t>
  </si>
  <si>
    <t>Biocapacity</t>
  </si>
  <si>
    <t>Afghanistan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</si>
  <si>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</si>
  <si>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</si>
  <si>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</si>
  <si>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</si>
  <si>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</si>
  <si>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</si>
  <si>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</si>
  <si>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</si>
  <si>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</si>
  <si>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</si>
  <si>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</si>
  <si>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</si>
  <si>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</si>
  <si>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</si>
  <si>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</si>
  <si>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</si>
  <si>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</si>
  <si>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</si>
  <si>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</si>
  <si>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</si>
  <si>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</si>
  <si>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</si>
  <si>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</si>
  <si>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</si>
  <si>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</si>
  <si>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</si>
  <si>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</si>
  <si>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</si>
  <si>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</si>
  <si>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</si>
  <si>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</si>
  <si>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</si>
  <si>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</si>
  <si>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</si>
  <si>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</si>
  <si>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</si>
  <si>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</si>
  <si>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Costa Rica</t>
  </si>
  <si>
    <t>Côte d'Ivoire</t>
  </si>
  <si>
    <t>Croatia</t>
  </si>
  <si>
    <t>Cuba</t>
  </si>
  <si>
    <t>Cyprus</t>
  </si>
  <si>
    <t>Czech Republic</t>
  </si>
  <si>
    <t>Democratic Republic of Congo</t>
  </si>
  <si>
    <t>Denmark</t>
  </si>
  <si>
    <t>Djibouti</t>
  </si>
  <si>
    <t>Dominica</t>
  </si>
  <si>
    <t>Ecuador</t>
  </si>
  <si>
    <t>Dominican Republic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</si>
  <si>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</si>
  <si>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</si>
  <si>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</si>
  <si>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</si>
  <si>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</si>
  <si>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</si>
  <si>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</si>
  <si>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Fiji</t>
  </si>
  <si>
    <t>Finland</t>
  </si>
  <si>
    <t>France</t>
  </si>
  <si>
    <t>French Guiana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</si>
  <si>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</si>
  <si>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</si>
  <si>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</si>
  <si>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</si>
  <si>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</si>
  <si>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</si>
  <si>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</si>
  <si>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</si>
  <si>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</si>
  <si>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</si>
  <si>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</si>
  <si>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</si>
  <si>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</si>
  <si>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</si>
  <si>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</t>
  </si>
  <si>
    <t>Indonesia</t>
  </si>
  <si>
    <t>Iraq</t>
  </si>
  <si>
    <t>Ireland</t>
  </si>
  <si>
    <t>Islamic Republic of Iran</t>
  </si>
  <si>
    <t>Israel</t>
  </si>
  <si>
    <t>Italy</t>
  </si>
  <si>
    <t>Jamaica</t>
  </si>
  <si>
    <t>Japan</t>
  </si>
  <si>
    <t>Jordan</t>
  </si>
  <si>
    <t>Kazakhstan</t>
  </si>
  <si>
    <t>Kenya</t>
  </si>
  <si>
    <t>Korea</t>
  </si>
  <si>
    <t>Korea, Republic of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</si>
  <si>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</si>
  <si>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</si>
  <si>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</si>
  <si>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</si>
  <si>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</si>
  <si>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</si>
  <si>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</si>
  <si>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Libyan Arab Jamahiriya</t>
  </si>
  <si>
    <t>Lithuania</t>
  </si>
  <si>
    <t>Luxembourg</t>
  </si>
  <si>
    <t>Macedonia TFYR</t>
  </si>
  <si>
    <t>Madagascar</t>
  </si>
  <si>
    <t>Malawi</t>
  </si>
  <si>
    <t>Malaysia</t>
  </si>
  <si>
    <t>Mali</t>
  </si>
  <si>
    <t>Malta</t>
  </si>
  <si>
    <t>Mauritania</t>
  </si>
  <si>
    <t>Mauritius</t>
  </si>
  <si>
    <t>Mexico</t>
  </si>
  <si>
    <t>Moldova</t>
  </si>
  <si>
    <t>Mongolia</t>
  </si>
  <si>
    <t>Montenegro</t>
  </si>
  <si>
    <t>Morocco</t>
  </si>
  <si>
    <t>Mozambique</t>
  </si>
  <si>
    <t>Myanmar</t>
  </si>
  <si>
    <t>Namibia</t>
  </si>
  <si>
    <t>Google</t>
  </si>
  <si>
    <t>Facebook</t>
  </si>
  <si>
    <t>Row Labels</t>
  </si>
  <si>
    <t>Sum of Units</t>
  </si>
  <si>
    <t>Transaction ID</t>
  </si>
  <si>
    <t>Product</t>
  </si>
  <si>
    <t>Quantity</t>
  </si>
  <si>
    <t>Unit Price (INR)</t>
  </si>
  <si>
    <t>Sales Date</t>
  </si>
  <si>
    <t>Customer Name</t>
  </si>
  <si>
    <t>City</t>
  </si>
  <si>
    <t>State</t>
  </si>
  <si>
    <t>Sales Channel</t>
  </si>
  <si>
    <t>Total Sale (INR)</t>
  </si>
  <si>
    <t>TX0001</t>
  </si>
  <si>
    <t>Smartwatch</t>
  </si>
  <si>
    <t>2024-04-12</t>
  </si>
  <si>
    <t>Vivaan Sastry</t>
  </si>
  <si>
    <t>Bharatpur</t>
  </si>
  <si>
    <t>Arunachal Pradesh</t>
  </si>
  <si>
    <t>Store</t>
  </si>
  <si>
    <t>Credit Card</t>
  </si>
  <si>
    <t>TX0002</t>
  </si>
  <si>
    <t>Desktop PC</t>
  </si>
  <si>
    <t>2024-02-06</t>
  </si>
  <si>
    <t>Ishaan Madan</t>
  </si>
  <si>
    <t>Nellore</t>
  </si>
  <si>
    <t>Odisha</t>
  </si>
  <si>
    <t>TX0003</t>
  </si>
  <si>
    <t>2023-12-16</t>
  </si>
  <si>
    <t>Azad Sandhu</t>
  </si>
  <si>
    <t>New Delhi</t>
  </si>
  <si>
    <t>Bihar</t>
  </si>
  <si>
    <t>Online</t>
  </si>
  <si>
    <t>TX0004</t>
  </si>
  <si>
    <t>E-Reader</t>
  </si>
  <si>
    <t>2024-09-11</t>
  </si>
  <si>
    <t>Shray Chawla</t>
  </si>
  <si>
    <t>Gandhidham</t>
  </si>
  <si>
    <t>Manipur</t>
  </si>
  <si>
    <t>TX0005</t>
  </si>
  <si>
    <t>Laptop</t>
  </si>
  <si>
    <t>2023-10-24</t>
  </si>
  <si>
    <t>Zara Kata</t>
  </si>
  <si>
    <t>Surendranagar Dudhrej</t>
  </si>
  <si>
    <t>Madhya Pradesh</t>
  </si>
  <si>
    <t>Direct</t>
  </si>
  <si>
    <t>Net Banking</t>
  </si>
  <si>
    <t>TX0006</t>
  </si>
  <si>
    <t>2023-12-24</t>
  </si>
  <si>
    <t>Vritika Kata</t>
  </si>
  <si>
    <t>Proddatur</t>
  </si>
  <si>
    <t>Meghalaya</t>
  </si>
  <si>
    <t>TX0007</t>
  </si>
  <si>
    <t>Tablet</t>
  </si>
  <si>
    <t>2023-11-27</t>
  </si>
  <si>
    <t>Hrishita Dada</t>
  </si>
  <si>
    <t>Buxar</t>
  </si>
  <si>
    <t>Goa</t>
  </si>
  <si>
    <t>TX0008</t>
  </si>
  <si>
    <t>External Hard Drive</t>
  </si>
  <si>
    <t>2024-07-13</t>
  </si>
  <si>
    <t>Anaya Sachar</t>
  </si>
  <si>
    <t>Srinagar</t>
  </si>
  <si>
    <t>Punjab</t>
  </si>
  <si>
    <t>Debit Card</t>
  </si>
  <si>
    <t>TX0009</t>
  </si>
  <si>
    <t>2024-01-30</t>
  </si>
  <si>
    <t>Indrans Jani</t>
  </si>
  <si>
    <t>Karaikudi</t>
  </si>
  <si>
    <t>TX0010</t>
  </si>
  <si>
    <t>Smartphone</t>
  </si>
  <si>
    <t>2023-11-15</t>
  </si>
  <si>
    <t>Shaan Dhar</t>
  </si>
  <si>
    <t>Guna</t>
  </si>
  <si>
    <t>Assam</t>
  </si>
  <si>
    <t>TX0011</t>
  </si>
  <si>
    <t>2024-07-03</t>
  </si>
  <si>
    <t>Lavanya Lal</t>
  </si>
  <si>
    <t>Panihati</t>
  </si>
  <si>
    <t>Sikkim</t>
  </si>
  <si>
    <t>TX0012</t>
  </si>
  <si>
    <t>Headphones</t>
  </si>
  <si>
    <t>Prisha Bakshi</t>
  </si>
  <si>
    <t>Sasaram</t>
  </si>
  <si>
    <t>TX0013</t>
  </si>
  <si>
    <t>Printer</t>
  </si>
  <si>
    <t>2024-09-17</t>
  </si>
  <si>
    <t>Abram Shetty</t>
  </si>
  <si>
    <t>Jodhpur</t>
  </si>
  <si>
    <t>Tripura</t>
  </si>
  <si>
    <t>TX0014</t>
  </si>
  <si>
    <t>Anaya Sunder</t>
  </si>
  <si>
    <t>Jalna</t>
  </si>
  <si>
    <t>Karnataka</t>
  </si>
  <si>
    <t>TX0015</t>
  </si>
  <si>
    <t>2023-12-21</t>
  </si>
  <si>
    <t>Farhan Mand</t>
  </si>
  <si>
    <t>Unnao</t>
  </si>
  <si>
    <t>TX0016</t>
  </si>
  <si>
    <t>Camera</t>
  </si>
  <si>
    <t>2024-02-15</t>
  </si>
  <si>
    <t>Nakul Hora</t>
  </si>
  <si>
    <t>Bahraich</t>
  </si>
  <si>
    <t>Uttar Pradesh</t>
  </si>
  <si>
    <t>TX0017</t>
  </si>
  <si>
    <t>2023-12-03</t>
  </si>
  <si>
    <t>Rhea Hegde</t>
  </si>
  <si>
    <t>Mau</t>
  </si>
  <si>
    <t>Cash</t>
  </si>
  <si>
    <t>TX0018</t>
  </si>
  <si>
    <t>2024-04-21</t>
  </si>
  <si>
    <t>Shanaya Desai</t>
  </si>
  <si>
    <t>Tadepalligudem</t>
  </si>
  <si>
    <t>Andhra Pradesh</t>
  </si>
  <si>
    <t>TX0019</t>
  </si>
  <si>
    <t>2023-11-30</t>
  </si>
  <si>
    <t>Miraan Rastogi</t>
  </si>
  <si>
    <t>Tiruchirappalli</t>
  </si>
  <si>
    <t>Gujarat</t>
  </si>
  <si>
    <t>TX0020</t>
  </si>
  <si>
    <t>2024-08-02</t>
  </si>
  <si>
    <t>Dharmajan Wable</t>
  </si>
  <si>
    <t>Dhule</t>
  </si>
  <si>
    <t>TX0021</t>
  </si>
  <si>
    <t>2024-07-25</t>
  </si>
  <si>
    <t>Myra Chanda</t>
  </si>
  <si>
    <t>Orai</t>
  </si>
  <si>
    <t>TX0022</t>
  </si>
  <si>
    <t>2024-05-25</t>
  </si>
  <si>
    <t>Lavanya Koshy</t>
  </si>
  <si>
    <t>Chapra</t>
  </si>
  <si>
    <t>TX0023</t>
  </si>
  <si>
    <t>2024-02-07</t>
  </si>
  <si>
    <t>Gokul Devi</t>
  </si>
  <si>
    <t>Mangalore</t>
  </si>
  <si>
    <t>Telangana</t>
  </si>
  <si>
    <t>TX0024</t>
  </si>
  <si>
    <t>2023-11-04</t>
  </si>
  <si>
    <t>Miraya Sahota</t>
  </si>
  <si>
    <t>Kharagpur</t>
  </si>
  <si>
    <t>Kerala</t>
  </si>
  <si>
    <t>TX0025</t>
  </si>
  <si>
    <t>2024-01-22</t>
  </si>
  <si>
    <t>Hansh Rau</t>
  </si>
  <si>
    <t>Bhubaneswar</t>
  </si>
  <si>
    <t>TX0026</t>
  </si>
  <si>
    <t>2024-01-27</t>
  </si>
  <si>
    <t>Heer Gole</t>
  </si>
  <si>
    <t>Tirupati</t>
  </si>
  <si>
    <t>TX0027</t>
  </si>
  <si>
    <t>2024-07-01</t>
  </si>
  <si>
    <t>Divyansh Ahluwalia</t>
  </si>
  <si>
    <t>Kota</t>
  </si>
  <si>
    <t>Mizoram</t>
  </si>
  <si>
    <t>TX0028</t>
  </si>
  <si>
    <t>2023-11-06</t>
  </si>
  <si>
    <t>Damini Bhat</t>
  </si>
  <si>
    <t>Gaya</t>
  </si>
  <si>
    <t>Nagaland</t>
  </si>
  <si>
    <t>TX0029</t>
  </si>
  <si>
    <t>2024-07-02</t>
  </si>
  <si>
    <t>Renee Subramanian</t>
  </si>
  <si>
    <t>TX0030</t>
  </si>
  <si>
    <t>2023-09-27</t>
  </si>
  <si>
    <t>Keya Chacko</t>
  </si>
  <si>
    <t>Vijayawada</t>
  </si>
  <si>
    <t>TX0031</t>
  </si>
  <si>
    <t>2023-12-15</t>
  </si>
  <si>
    <t>Hiran Kata</t>
  </si>
  <si>
    <t>Delhi</t>
  </si>
  <si>
    <t>Uttarakhand</t>
  </si>
  <si>
    <t>TX0032</t>
  </si>
  <si>
    <t>2024-01-29</t>
  </si>
  <si>
    <t>Shalv Sodhi</t>
  </si>
  <si>
    <t>Nandyal</t>
  </si>
  <si>
    <t>TX0033</t>
  </si>
  <si>
    <t>2023-12-27</t>
  </si>
  <si>
    <t>Shlok Chopra</t>
  </si>
  <si>
    <t>TX0034</t>
  </si>
  <si>
    <t>2024-09-02</t>
  </si>
  <si>
    <t>Heer Borra</t>
  </si>
  <si>
    <t>Kavali</t>
  </si>
  <si>
    <t>TX0035</t>
  </si>
  <si>
    <t>2024-06-14</t>
  </si>
  <si>
    <t>Armaan Chand</t>
  </si>
  <si>
    <t>Shimoga</t>
  </si>
  <si>
    <t>TX0036</t>
  </si>
  <si>
    <t>Saira Zachariah</t>
  </si>
  <si>
    <t>Ichalkaranji</t>
  </si>
  <si>
    <t>TX0037</t>
  </si>
  <si>
    <t>2024-08-01</t>
  </si>
  <si>
    <t>Damini Samra</t>
  </si>
  <si>
    <t>Berhampore</t>
  </si>
  <si>
    <t>Chhattisgarh</t>
  </si>
  <si>
    <t>TX0038</t>
  </si>
  <si>
    <t>2023-12-13</t>
  </si>
  <si>
    <t>Eshani Tara</t>
  </si>
  <si>
    <t>Nangloi Jat</t>
  </si>
  <si>
    <t>TX0039</t>
  </si>
  <si>
    <t>2023-12-25</t>
  </si>
  <si>
    <t>Hiran Dyal</t>
  </si>
  <si>
    <t>Bhimavaram</t>
  </si>
  <si>
    <t>TX0040</t>
  </si>
  <si>
    <t>2024-08-08</t>
  </si>
  <si>
    <t>Advika Seshadri</t>
  </si>
  <si>
    <t>Pimpri-Chinchwad</t>
  </si>
  <si>
    <t>TX0041</t>
  </si>
  <si>
    <t>2024-08-12</t>
  </si>
  <si>
    <t>Veer Soman</t>
  </si>
  <si>
    <t>Bhatpara</t>
  </si>
  <si>
    <t>TX0042</t>
  </si>
  <si>
    <t>2024-03-31</t>
  </si>
  <si>
    <t>Amira Badal</t>
  </si>
  <si>
    <t>Solapur</t>
  </si>
  <si>
    <t>Himachal Pradesh</t>
  </si>
  <si>
    <t>TX0043</t>
  </si>
  <si>
    <t>2024-09-22</t>
  </si>
  <si>
    <t>Ryan Sidhu</t>
  </si>
  <si>
    <t>Kamarhati</t>
  </si>
  <si>
    <t>TX0044</t>
  </si>
  <si>
    <t>2024-09-10</t>
  </si>
  <si>
    <t>Nayantara Issac</t>
  </si>
  <si>
    <t>Salem</t>
  </si>
  <si>
    <t>TX0045</t>
  </si>
  <si>
    <t>2024-04-18</t>
  </si>
  <si>
    <t>Neelofar Kohli</t>
  </si>
  <si>
    <t>Rajasthan</t>
  </si>
  <si>
    <t>TX0046</t>
  </si>
  <si>
    <t>2023-10-16</t>
  </si>
  <si>
    <t>Zaina Sani</t>
  </si>
  <si>
    <t>Silchar</t>
  </si>
  <si>
    <t>TX0047</t>
  </si>
  <si>
    <t>2024-08-14</t>
  </si>
  <si>
    <t>Dhanuk Dasgupta</t>
  </si>
  <si>
    <t>Nadiad</t>
  </si>
  <si>
    <t>TX0048</t>
  </si>
  <si>
    <t>Nakul Lalla</t>
  </si>
  <si>
    <t>Panvel</t>
  </si>
  <si>
    <t>TX0049</t>
  </si>
  <si>
    <t>2024-05-13</t>
  </si>
  <si>
    <t>Indrajit Chandra</t>
  </si>
  <si>
    <t>Bhopal</t>
  </si>
  <si>
    <t>TX0050</t>
  </si>
  <si>
    <t>Pihu Garg</t>
  </si>
  <si>
    <t>Cuttack</t>
  </si>
  <si>
    <t>TX0051</t>
  </si>
  <si>
    <t>2024-06-02</t>
  </si>
  <si>
    <t>Shayak Dixit</t>
  </si>
  <si>
    <t>Agartala</t>
  </si>
  <si>
    <t>TX0052</t>
  </si>
  <si>
    <t>2024-04-30</t>
  </si>
  <si>
    <t>Mishti Sahota</t>
  </si>
  <si>
    <t>Etawah</t>
  </si>
  <si>
    <t>TX0053</t>
  </si>
  <si>
    <t>2023-10-04</t>
  </si>
  <si>
    <t>Alia Rama</t>
  </si>
  <si>
    <t>Hazaribagh</t>
  </si>
  <si>
    <t>West Bengal</t>
  </si>
  <si>
    <t>TX0054</t>
  </si>
  <si>
    <t>2024-03-07</t>
  </si>
  <si>
    <t>Adira Suresh</t>
  </si>
  <si>
    <t>Darbhanga</t>
  </si>
  <si>
    <t>TX0055</t>
  </si>
  <si>
    <t>2024-08-23</t>
  </si>
  <si>
    <t>Aradhya Sarin</t>
  </si>
  <si>
    <t>Ghaziabad</t>
  </si>
  <si>
    <t>TX0056</t>
  </si>
  <si>
    <t>Tejas Kohli</t>
  </si>
  <si>
    <t>Sambhal</t>
  </si>
  <si>
    <t>Jharkhand</t>
  </si>
  <si>
    <t>TX0057</t>
  </si>
  <si>
    <t>2024-03-22</t>
  </si>
  <si>
    <t>Alisha Zachariah</t>
  </si>
  <si>
    <t>Akola</t>
  </si>
  <si>
    <t>TX0058</t>
  </si>
  <si>
    <t>2024-06-07</t>
  </si>
  <si>
    <t>Divyansh Sami</t>
  </si>
  <si>
    <t>Phusro</t>
  </si>
  <si>
    <t>TX0059</t>
  </si>
  <si>
    <t>2024-02-01</t>
  </si>
  <si>
    <t>Aarav Yohannan</t>
  </si>
  <si>
    <t>Allahabad</t>
  </si>
  <si>
    <t>TX0060</t>
  </si>
  <si>
    <t>2024-02-02</t>
  </si>
  <si>
    <t>Lakshay Ramachandran</t>
  </si>
  <si>
    <t>Haryana</t>
  </si>
  <si>
    <t>TX0061</t>
  </si>
  <si>
    <t>2024-08-03</t>
  </si>
  <si>
    <t>Trisha Sami</t>
  </si>
  <si>
    <t>Tirunelveli</t>
  </si>
  <si>
    <t>TX0062</t>
  </si>
  <si>
    <t>2023-10-03</t>
  </si>
  <si>
    <t>Mishti Rout</t>
  </si>
  <si>
    <t>TX0063</t>
  </si>
  <si>
    <t>2024-07-04</t>
  </si>
  <si>
    <t>Madhup Bhatti</t>
  </si>
  <si>
    <t>Satara</t>
  </si>
  <si>
    <t>TX0064</t>
  </si>
  <si>
    <t>2023-10-02</t>
  </si>
  <si>
    <t>Myra Gala</t>
  </si>
  <si>
    <t>Imphal</t>
  </si>
  <si>
    <t>TX0065</t>
  </si>
  <si>
    <t>2024-08-22</t>
  </si>
  <si>
    <t>Prisha Gade</t>
  </si>
  <si>
    <t>Parbhani</t>
  </si>
  <si>
    <t>TX0066</t>
  </si>
  <si>
    <t>2024-09-20</t>
  </si>
  <si>
    <t>Kavya Chaudry</t>
  </si>
  <si>
    <t>Warangal</t>
  </si>
  <si>
    <t>TX0067</t>
  </si>
  <si>
    <t>2024-04-22</t>
  </si>
  <si>
    <t>Anika Virk</t>
  </si>
  <si>
    <t>Jalgaon</t>
  </si>
  <si>
    <t>TX0068</t>
  </si>
  <si>
    <t>2024-06-01</t>
  </si>
  <si>
    <t>Tara Shukla</t>
  </si>
  <si>
    <t>Sri Ganganagar</t>
  </si>
  <si>
    <t>TX0069</t>
  </si>
  <si>
    <t>2024-03-12</t>
  </si>
  <si>
    <t>Arhaan Bhandari</t>
  </si>
  <si>
    <t>Jehanabad</t>
  </si>
  <si>
    <t>Tamil Nadu</t>
  </si>
  <si>
    <t>TX0070</t>
  </si>
  <si>
    <t>2023-12-30</t>
  </si>
  <si>
    <t>Inaaya  Varughese</t>
  </si>
  <si>
    <t>TX0071</t>
  </si>
  <si>
    <t>2024-06-25</t>
  </si>
  <si>
    <t>Divit Srivastava</t>
  </si>
  <si>
    <t>Visakhapatnam</t>
  </si>
  <si>
    <t>Maharashtra</t>
  </si>
  <si>
    <t>TX0072</t>
  </si>
  <si>
    <t>2024-09-03</t>
  </si>
  <si>
    <t>Shayak Handa</t>
  </si>
  <si>
    <t>Vadodara</t>
  </si>
  <si>
    <t>TX0073</t>
  </si>
  <si>
    <t>2024-05-27</t>
  </si>
  <si>
    <t>Nirvi Gopal</t>
  </si>
  <si>
    <t>Hosur</t>
  </si>
  <si>
    <t>TX0074</t>
  </si>
  <si>
    <t>2024-04-02</t>
  </si>
  <si>
    <t>Arnav Bhavsar</t>
  </si>
  <si>
    <t>Amritsar</t>
  </si>
  <si>
    <t>TX0075</t>
  </si>
  <si>
    <t>2024-07-07</t>
  </si>
  <si>
    <t>Jhanvi Rattan</t>
  </si>
  <si>
    <t>Chennai</t>
  </si>
  <si>
    <t>TX0076</t>
  </si>
  <si>
    <t>2024-01-07</t>
  </si>
  <si>
    <t>Anika Badami</t>
  </si>
  <si>
    <t>Nagpur</t>
  </si>
  <si>
    <t>TX0077</t>
  </si>
  <si>
    <t>2024-07-06</t>
  </si>
  <si>
    <t>Priyansh Balakrishnan</t>
  </si>
  <si>
    <t>Bokaro</t>
  </si>
  <si>
    <t>TX0078</t>
  </si>
  <si>
    <t>Kashvi Batra</t>
  </si>
  <si>
    <t>Jaipur</t>
  </si>
  <si>
    <t>TX0079</t>
  </si>
  <si>
    <t>2024-05-26</t>
  </si>
  <si>
    <t>Fateh Bhattacharyya</t>
  </si>
  <si>
    <t>Aurangabad</t>
  </si>
  <si>
    <t>TX0080</t>
  </si>
  <si>
    <t>Divij Seth</t>
  </si>
  <si>
    <t>Surat</t>
  </si>
  <si>
    <t>TX0081</t>
  </si>
  <si>
    <t>2024-01-16</t>
  </si>
  <si>
    <t>Suhana Kade</t>
  </si>
  <si>
    <t>Amravati</t>
  </si>
  <si>
    <t>TX0082</t>
  </si>
  <si>
    <t>2024-01-02</t>
  </si>
  <si>
    <t>Himmat Chacko</t>
  </si>
  <si>
    <t>Bhalswa Jahangir Pur</t>
  </si>
  <si>
    <t>TX0083</t>
  </si>
  <si>
    <t>2023-12-23</t>
  </si>
  <si>
    <t>Advik Anand</t>
  </si>
  <si>
    <t>Kishanganj</t>
  </si>
  <si>
    <t>TX0084</t>
  </si>
  <si>
    <t>2024-01-23</t>
  </si>
  <si>
    <t>Piya Tara</t>
  </si>
  <si>
    <t>TX0085</t>
  </si>
  <si>
    <t>2024-06-22</t>
  </si>
  <si>
    <t>Nirvi Bhalla</t>
  </si>
  <si>
    <t>Pune</t>
  </si>
  <si>
    <t>TX0086</t>
  </si>
  <si>
    <t>2023-12-18</t>
  </si>
  <si>
    <t>Alisha Setty</t>
  </si>
  <si>
    <t>Sikar</t>
  </si>
  <si>
    <t>TX0087</t>
  </si>
  <si>
    <t>2023-10-08</t>
  </si>
  <si>
    <t>Raunak Sahni</t>
  </si>
  <si>
    <t>TX0088</t>
  </si>
  <si>
    <t>2024-09-14</t>
  </si>
  <si>
    <t>Adah Raju</t>
  </si>
  <si>
    <t>TX0089</t>
  </si>
  <si>
    <t>2024-07-31</t>
  </si>
  <si>
    <t>Lakshay Behl</t>
  </si>
  <si>
    <t>TX0090</t>
  </si>
  <si>
    <t>2024-05-17</t>
  </si>
  <si>
    <t>Vedika Mahajan</t>
  </si>
  <si>
    <t>Dhanbad</t>
  </si>
  <si>
    <t>TX0091</t>
  </si>
  <si>
    <t>Nirvaan Yohannan</t>
  </si>
  <si>
    <t>TX0092</t>
  </si>
  <si>
    <t>2024-06-08</t>
  </si>
  <si>
    <t>Keya De</t>
  </si>
  <si>
    <t>Avadi</t>
  </si>
  <si>
    <t>TX0093</t>
  </si>
  <si>
    <t>2023-10-29</t>
  </si>
  <si>
    <t>Advik Kulkarni</t>
  </si>
  <si>
    <t>Tezpur</t>
  </si>
  <si>
    <t>TX0094</t>
  </si>
  <si>
    <t>2024-04-03</t>
  </si>
  <si>
    <t>Bhavin Manda</t>
  </si>
  <si>
    <t>Bhusawal</t>
  </si>
  <si>
    <t>TX0095</t>
  </si>
  <si>
    <t>2024-07-11</t>
  </si>
  <si>
    <t>Suhana Ganesan</t>
  </si>
  <si>
    <t>TX0096</t>
  </si>
  <si>
    <t>2024-03-06</t>
  </si>
  <si>
    <t>Piya Bajwa</t>
  </si>
  <si>
    <t>TX0097</t>
  </si>
  <si>
    <t>2023-10-10</t>
  </si>
  <si>
    <t>Riaan Dhillon</t>
  </si>
  <si>
    <t>Bhiwani</t>
  </si>
  <si>
    <t>TX0098</t>
  </si>
  <si>
    <t>2024-01-10</t>
  </si>
  <si>
    <t>Ayesha Chander</t>
  </si>
  <si>
    <t>TX0099</t>
  </si>
  <si>
    <t>2023-11-03</t>
  </si>
  <si>
    <t>Mamooty Dyal</t>
  </si>
  <si>
    <t>Bardhaman</t>
  </si>
  <si>
    <t>TX0100</t>
  </si>
  <si>
    <t>2024-01-17</t>
  </si>
  <si>
    <t>Shaan Balan</t>
  </si>
  <si>
    <t>TX0101</t>
  </si>
  <si>
    <t>2024-05-12</t>
  </si>
  <si>
    <t>Lagan Sarna</t>
  </si>
  <si>
    <t>Jhansi</t>
  </si>
  <si>
    <t>TX0102</t>
  </si>
  <si>
    <t>Jayan Balasubramanian</t>
  </si>
  <si>
    <t>Karawal Nagar</t>
  </si>
  <si>
    <t>TX0103</t>
  </si>
  <si>
    <t>2024-01-18</t>
  </si>
  <si>
    <t>Mamooty Thaman</t>
  </si>
  <si>
    <t>TX0104</t>
  </si>
  <si>
    <t>2024-09-23</t>
  </si>
  <si>
    <t>Prerak Badal</t>
  </si>
  <si>
    <t>TX0105</t>
  </si>
  <si>
    <t>2024-02-12</t>
  </si>
  <si>
    <t>Yuvaan Bhasin</t>
  </si>
  <si>
    <t>Siliguri</t>
  </si>
  <si>
    <t>TX0106</t>
  </si>
  <si>
    <t>2024-09-16</t>
  </si>
  <si>
    <t>Aniruddh Ghosh</t>
  </si>
  <si>
    <t>TX0107</t>
  </si>
  <si>
    <t>2024-06-17</t>
  </si>
  <si>
    <t>Keya Rau</t>
  </si>
  <si>
    <t>TX0108</t>
  </si>
  <si>
    <t>2024-07-08</t>
  </si>
  <si>
    <t>Jayesh Virk</t>
  </si>
  <si>
    <t>Motihari</t>
  </si>
  <si>
    <t>TX0109</t>
  </si>
  <si>
    <t>Anahita Gala</t>
  </si>
  <si>
    <t>TX0110</t>
  </si>
  <si>
    <t>Rania Gala</t>
  </si>
  <si>
    <t>TX0111</t>
  </si>
  <si>
    <t>Piya Doctor</t>
  </si>
  <si>
    <t>Erode</t>
  </si>
  <si>
    <t>TX0112</t>
  </si>
  <si>
    <t>2024-05-24</t>
  </si>
  <si>
    <t>Krish Lal</t>
  </si>
  <si>
    <t>TX0113</t>
  </si>
  <si>
    <t>Neysa Dhawan</t>
  </si>
  <si>
    <t>Bhilai</t>
  </si>
  <si>
    <t>TX0114</t>
  </si>
  <si>
    <t>2024-04-11</t>
  </si>
  <si>
    <t>Prisha Chanda</t>
  </si>
  <si>
    <t>Chandigarh</t>
  </si>
  <si>
    <t>TX0115</t>
  </si>
  <si>
    <t>2024-01-12</t>
  </si>
  <si>
    <t>Hrishita Dora</t>
  </si>
  <si>
    <t>Jamnagar</t>
  </si>
  <si>
    <t>TX0116</t>
  </si>
  <si>
    <t>2024-06-19</t>
  </si>
  <si>
    <t>Jayan Ramakrishnan</t>
  </si>
  <si>
    <t>Saharanpur</t>
  </si>
  <si>
    <t>TX0117</t>
  </si>
  <si>
    <t>Lakshit Sane</t>
  </si>
  <si>
    <t>TX0118</t>
  </si>
  <si>
    <t>Jivika Dani</t>
  </si>
  <si>
    <t>TX0119</t>
  </si>
  <si>
    <t>2024-02-27</t>
  </si>
  <si>
    <t>Ahana  Hora</t>
  </si>
  <si>
    <t>Katihar</t>
  </si>
  <si>
    <t>TX0120</t>
  </si>
  <si>
    <t>Rasha Kota</t>
  </si>
  <si>
    <t>Gurgaon</t>
  </si>
  <si>
    <t>TX0121</t>
  </si>
  <si>
    <t>Oorja Sachdeva</t>
  </si>
  <si>
    <t>Begusarai</t>
  </si>
  <si>
    <t>TX0122</t>
  </si>
  <si>
    <t>2024-08-27</t>
  </si>
  <si>
    <t>Pari Bhagat</t>
  </si>
  <si>
    <t>TX0123</t>
  </si>
  <si>
    <t>2023-11-10</t>
  </si>
  <si>
    <t>Saanvi Ramesh</t>
  </si>
  <si>
    <t>TX0124</t>
  </si>
  <si>
    <t>2024-01-06</t>
  </si>
  <si>
    <t>Kismat Lanka</t>
  </si>
  <si>
    <t>Aligarh</t>
  </si>
  <si>
    <t>TX0125</t>
  </si>
  <si>
    <t>2023-12-08</t>
  </si>
  <si>
    <t>Gokul Chaudhary</t>
  </si>
  <si>
    <t>Dehri</t>
  </si>
  <si>
    <t>TX0126</t>
  </si>
  <si>
    <t>2024-06-13</t>
  </si>
  <si>
    <t>Drishya Bahl</t>
  </si>
  <si>
    <t>TX0127</t>
  </si>
  <si>
    <t>2023-12-14</t>
  </si>
  <si>
    <t>Divit Sundaram</t>
  </si>
  <si>
    <t>Korba</t>
  </si>
  <si>
    <t>TX0128</t>
  </si>
  <si>
    <t>2024-02-21</t>
  </si>
  <si>
    <t>Lakshit Sathe</t>
  </si>
  <si>
    <t>Sirsa</t>
  </si>
  <si>
    <t>TX0129</t>
  </si>
  <si>
    <t>2023-12-22</t>
  </si>
  <si>
    <t>Kiaan Chana</t>
  </si>
  <si>
    <t>Hindupur</t>
  </si>
  <si>
    <t>TX0130</t>
  </si>
  <si>
    <t>2024-08-31</t>
  </si>
  <si>
    <t>Aayush De</t>
  </si>
  <si>
    <t>Deoghar</t>
  </si>
  <si>
    <t>TX0131</t>
  </si>
  <si>
    <t>Nitya Bains</t>
  </si>
  <si>
    <t>Bidhannagar</t>
  </si>
  <si>
    <t>TX0132</t>
  </si>
  <si>
    <t>2024-07-18</t>
  </si>
  <si>
    <t>Shamik Barman</t>
  </si>
  <si>
    <t>Mumbai</t>
  </si>
  <si>
    <t>TX0133</t>
  </si>
  <si>
    <t>2023-10-20</t>
  </si>
  <si>
    <t>Parinaaz Chaudhary</t>
  </si>
  <si>
    <t>Chandrapur</t>
  </si>
  <si>
    <t>TX0134</t>
  </si>
  <si>
    <t>Prerak Dewan</t>
  </si>
  <si>
    <t>Arrah</t>
  </si>
  <si>
    <t>TX0135</t>
  </si>
  <si>
    <t>2024-02-09</t>
  </si>
  <si>
    <t>Pihu Bakshi</t>
  </si>
  <si>
    <t>Bilaspur</t>
  </si>
  <si>
    <t>TX0136</t>
  </si>
  <si>
    <t>2024-08-16</t>
  </si>
  <si>
    <t>Nishith Issac</t>
  </si>
  <si>
    <t>Raipur</t>
  </si>
  <si>
    <t>TX0137</t>
  </si>
  <si>
    <t>2024-02-19</t>
  </si>
  <si>
    <t>Zaina Vala</t>
  </si>
  <si>
    <t>TX0138</t>
  </si>
  <si>
    <t>Shaan Grewal</t>
  </si>
  <si>
    <t>Dibrugarh</t>
  </si>
  <si>
    <t>TX0139</t>
  </si>
  <si>
    <t>2024-03-13</t>
  </si>
  <si>
    <t>Stuvan Tara</t>
  </si>
  <si>
    <t>TX0140</t>
  </si>
  <si>
    <t>2024-05-22</t>
  </si>
  <si>
    <t>Indranil Chawla</t>
  </si>
  <si>
    <t>Karnal</t>
  </si>
  <si>
    <t>TX0141</t>
  </si>
  <si>
    <t>Adira Sekhon</t>
  </si>
  <si>
    <t>Vellore</t>
  </si>
  <si>
    <t>TX0142</t>
  </si>
  <si>
    <t>2024-06-16</t>
  </si>
  <si>
    <t>Shlok Majumdar</t>
  </si>
  <si>
    <t>Ujjain</t>
  </si>
  <si>
    <t>TX0143</t>
  </si>
  <si>
    <t>2024-09-06</t>
  </si>
  <si>
    <t>Badal Magar</t>
  </si>
  <si>
    <t>Mirzapur</t>
  </si>
  <si>
    <t>TX0144</t>
  </si>
  <si>
    <t>Ranbir Ray</t>
  </si>
  <si>
    <t>Kulti</t>
  </si>
  <si>
    <t>TX0145</t>
  </si>
  <si>
    <t>Jiya Chanda</t>
  </si>
  <si>
    <t>Dewas</t>
  </si>
  <si>
    <t>TX0146</t>
  </si>
  <si>
    <t>Keya Chandran</t>
  </si>
  <si>
    <t>Rajahmundry</t>
  </si>
  <si>
    <t>TX0147</t>
  </si>
  <si>
    <t>Veer Bajaj</t>
  </si>
  <si>
    <t>Pondicherry</t>
  </si>
  <si>
    <t>TX0148</t>
  </si>
  <si>
    <t>2024-07-17</t>
  </si>
  <si>
    <t>Mahika Sharma</t>
  </si>
  <si>
    <t>TX0149</t>
  </si>
  <si>
    <t>2024-02-18</t>
  </si>
  <si>
    <t>Dhanuk Ratta</t>
  </si>
  <si>
    <t>TX0150</t>
  </si>
  <si>
    <t>2024-06-06</t>
  </si>
  <si>
    <t>Pari Dhawan</t>
  </si>
  <si>
    <t xml:space="preserve">Khora </t>
  </si>
  <si>
    <t>TX0151</t>
  </si>
  <si>
    <t>2023-10-22</t>
  </si>
  <si>
    <t>Piya Krishnamurthy</t>
  </si>
  <si>
    <t>Thanjavur</t>
  </si>
  <si>
    <t>TX0152</t>
  </si>
  <si>
    <t>2023-10-13</t>
  </si>
  <si>
    <t>Kiaan Vig</t>
  </si>
  <si>
    <t>TX0153</t>
  </si>
  <si>
    <t>2024-08-06</t>
  </si>
  <si>
    <t>Siya Master</t>
  </si>
  <si>
    <t>TX0154</t>
  </si>
  <si>
    <t>Anay Bhagat</t>
  </si>
  <si>
    <t>Fatehpur</t>
  </si>
  <si>
    <t>TX0155</t>
  </si>
  <si>
    <t>Prerak Devan</t>
  </si>
  <si>
    <t>Maheshtala</t>
  </si>
  <si>
    <t>TX0156</t>
  </si>
  <si>
    <t>2024-07-16</t>
  </si>
  <si>
    <t>Jayan Raja</t>
  </si>
  <si>
    <t>TX0157</t>
  </si>
  <si>
    <t>2024-06-15</t>
  </si>
  <si>
    <t>Kismat Thaker</t>
  </si>
  <si>
    <t>Guntur</t>
  </si>
  <si>
    <t>TX0158</t>
  </si>
  <si>
    <t>2023-09-30</t>
  </si>
  <si>
    <t>Anahita Sundaram</t>
  </si>
  <si>
    <t>TX0159</t>
  </si>
  <si>
    <t>Arhaan Rau</t>
  </si>
  <si>
    <t>Singrauli</t>
  </si>
  <si>
    <t>TX0160</t>
  </si>
  <si>
    <t>2023-12-20</t>
  </si>
  <si>
    <t>Anahi Ratta</t>
  </si>
  <si>
    <t>TX0161</t>
  </si>
  <si>
    <t>2023-10-26</t>
  </si>
  <si>
    <t>Parinaaz Balay</t>
  </si>
  <si>
    <t>Madhyamgram</t>
  </si>
  <si>
    <t>TX0162</t>
  </si>
  <si>
    <t>Vanya Chowdhury</t>
  </si>
  <si>
    <t>TX0163</t>
  </si>
  <si>
    <t>Jhanvi Zacharia</t>
  </si>
  <si>
    <t>TX0164</t>
  </si>
  <si>
    <t>2023-11-11</t>
  </si>
  <si>
    <t>Shayak Halder</t>
  </si>
  <si>
    <t>Guwahati</t>
  </si>
  <si>
    <t>TX0165</t>
  </si>
  <si>
    <t>2024-03-19</t>
  </si>
  <si>
    <t>Parinaaz Uppal</t>
  </si>
  <si>
    <t>Sagar</t>
  </si>
  <si>
    <t>TX0166</t>
  </si>
  <si>
    <t>2023-10-09</t>
  </si>
  <si>
    <t>Farhan Jhaveri</t>
  </si>
  <si>
    <t>Bongaigaon</t>
  </si>
  <si>
    <t>TX0167</t>
  </si>
  <si>
    <t>2024-01-04</t>
  </si>
  <si>
    <t>Ayesha Kar</t>
  </si>
  <si>
    <t>Tenali</t>
  </si>
  <si>
    <t>TX0168</t>
  </si>
  <si>
    <t>2023-11-29</t>
  </si>
  <si>
    <t>Anay Balakrishnan</t>
  </si>
  <si>
    <t>Raebareli</t>
  </si>
  <si>
    <t>TX0169</t>
  </si>
  <si>
    <t>2023-12-31</t>
  </si>
  <si>
    <t>Vritika Sura</t>
  </si>
  <si>
    <t>TX0170</t>
  </si>
  <si>
    <t>Sara Sule</t>
  </si>
  <si>
    <t>Meerut</t>
  </si>
  <si>
    <t>TX0171</t>
  </si>
  <si>
    <t>2023-12-12</t>
  </si>
  <si>
    <t>Lakshit Raval</t>
  </si>
  <si>
    <t>TX0172</t>
  </si>
  <si>
    <t>Hansh Randhawa</t>
  </si>
  <si>
    <t>Pudukkottai</t>
  </si>
  <si>
    <t>TX0173</t>
  </si>
  <si>
    <t>2024-02-20</t>
  </si>
  <si>
    <t>Advika Kashyap</t>
  </si>
  <si>
    <t>Sambalpur</t>
  </si>
  <si>
    <t>TX0174</t>
  </si>
  <si>
    <t>2024-08-18</t>
  </si>
  <si>
    <t>Lakshay Sinha</t>
  </si>
  <si>
    <t>Junagadh</t>
  </si>
  <si>
    <t>TX0175</t>
  </si>
  <si>
    <t>Vidur Manne</t>
  </si>
  <si>
    <t>Ludhiana</t>
  </si>
  <si>
    <t>TX0176</t>
  </si>
  <si>
    <t>Riya Ganguly</t>
  </si>
  <si>
    <t>Naihati</t>
  </si>
  <si>
    <t>TX0177</t>
  </si>
  <si>
    <t>Baiju Goswami</t>
  </si>
  <si>
    <t>Aizawl</t>
  </si>
  <si>
    <t>TX0178</t>
  </si>
  <si>
    <t>2024-02-11</t>
  </si>
  <si>
    <t>Dhanuk Chawla</t>
  </si>
  <si>
    <t>TX0179</t>
  </si>
  <si>
    <t>2024-05-31</t>
  </si>
  <si>
    <t>Divyansh Devan</t>
  </si>
  <si>
    <t>Hapur</t>
  </si>
  <si>
    <t>TX0180</t>
  </si>
  <si>
    <t>Onkar Banik</t>
  </si>
  <si>
    <t>TX0181</t>
  </si>
  <si>
    <t>Nitya Vyas</t>
  </si>
  <si>
    <t>TX0182</t>
  </si>
  <si>
    <t>Arnav Dutta</t>
  </si>
  <si>
    <t>Panipat</t>
  </si>
  <si>
    <t>TX0183</t>
  </si>
  <si>
    <t>Uthkarsh Kuruvilla</t>
  </si>
  <si>
    <t>Bettiah</t>
  </si>
  <si>
    <t>TX0184</t>
  </si>
  <si>
    <t>Myra Mangal</t>
  </si>
  <si>
    <t>TX0185</t>
  </si>
  <si>
    <t>Bhavin Raja</t>
  </si>
  <si>
    <t>TX0186</t>
  </si>
  <si>
    <t>2024-07-15</t>
  </si>
  <si>
    <t>Biju Chaudhuri</t>
  </si>
  <si>
    <t>TX0187</t>
  </si>
  <si>
    <t>2024-01-24</t>
  </si>
  <si>
    <t>Dharmajan Bahl</t>
  </si>
  <si>
    <t>Gulbarga</t>
  </si>
  <si>
    <t>TX0188</t>
  </si>
  <si>
    <t>Aaina Dhingra</t>
  </si>
  <si>
    <t>Alwar</t>
  </si>
  <si>
    <t>TX0189</t>
  </si>
  <si>
    <t>2024-08-28</t>
  </si>
  <si>
    <t>Parinaaz Lall</t>
  </si>
  <si>
    <t>Amroha</t>
  </si>
  <si>
    <t>TX0190</t>
  </si>
  <si>
    <t>Zain Lad</t>
  </si>
  <si>
    <t>TX0191</t>
  </si>
  <si>
    <t>2023-10-14</t>
  </si>
  <si>
    <t>Prerak Vasa</t>
  </si>
  <si>
    <t>Vijayanagaram</t>
  </si>
  <si>
    <t>TX0192</t>
  </si>
  <si>
    <t>2023-10-18</t>
  </si>
  <si>
    <t>Siya Sachdeva</t>
  </si>
  <si>
    <t>Ahmednagar</t>
  </si>
  <si>
    <t>TX0193</t>
  </si>
  <si>
    <t>2024-04-23</t>
  </si>
  <si>
    <t>Uthkarsh Taneja</t>
  </si>
  <si>
    <t>TX0194</t>
  </si>
  <si>
    <t>2024-03-25</t>
  </si>
  <si>
    <t>Seher De</t>
  </si>
  <si>
    <t>TX0195</t>
  </si>
  <si>
    <t>Hridaan Chaudry</t>
  </si>
  <si>
    <t>TX0196</t>
  </si>
  <si>
    <t>2024-09-21</t>
  </si>
  <si>
    <t>Dhruv Sathe</t>
  </si>
  <si>
    <t>Ratlam</t>
  </si>
  <si>
    <t>TX0197</t>
  </si>
  <si>
    <t>2024-01-03</t>
  </si>
  <si>
    <t>Yuvaan Ravel</t>
  </si>
  <si>
    <t>TX0198</t>
  </si>
  <si>
    <t>2024-06-12</t>
  </si>
  <si>
    <t>Anahi Wagle</t>
  </si>
  <si>
    <t>Rourkela</t>
  </si>
  <si>
    <t>TX0199</t>
  </si>
  <si>
    <t>2024-03-01</t>
  </si>
  <si>
    <t>Kiara Rao</t>
  </si>
  <si>
    <t>Anantapur</t>
  </si>
  <si>
    <t>TX0200</t>
  </si>
  <si>
    <t>2024-01-05</t>
  </si>
  <si>
    <t>Taimur Tara</t>
  </si>
  <si>
    <t>Udupi</t>
  </si>
  <si>
    <t>TX0201</t>
  </si>
  <si>
    <t>Pranay Bhagat</t>
  </si>
  <si>
    <t>Suryapet</t>
  </si>
  <si>
    <t>TX0202</t>
  </si>
  <si>
    <t>2024-07-28</t>
  </si>
  <si>
    <t>Vritika Raju</t>
  </si>
  <si>
    <t>TX0203</t>
  </si>
  <si>
    <t>2024-09-05</t>
  </si>
  <si>
    <t>Samar Joshi</t>
  </si>
  <si>
    <t>TX0204</t>
  </si>
  <si>
    <t>Amira Bhardwaj</t>
  </si>
  <si>
    <t>TX0205</t>
  </si>
  <si>
    <t>2023-12-07</t>
  </si>
  <si>
    <t>Bhamini Sangha</t>
  </si>
  <si>
    <t>Chinsurah</t>
  </si>
  <si>
    <t>TX0206</t>
  </si>
  <si>
    <t>2024-08-13</t>
  </si>
  <si>
    <t>Jiya Sama</t>
  </si>
  <si>
    <t>Sultan Pur Majra</t>
  </si>
  <si>
    <t>TX0207</t>
  </si>
  <si>
    <t>2024-09-15</t>
  </si>
  <si>
    <t>Manjari Shenoy</t>
  </si>
  <si>
    <t>Mahbubnagar</t>
  </si>
  <si>
    <t>TX0208</t>
  </si>
  <si>
    <t>Neelofar Rau</t>
  </si>
  <si>
    <t>TX0209</t>
  </si>
  <si>
    <t>2023-12-05</t>
  </si>
  <si>
    <t>Yuvraj  Dugal</t>
  </si>
  <si>
    <t>TX0210</t>
  </si>
  <si>
    <t>Umang Dalal</t>
  </si>
  <si>
    <t>TX0211</t>
  </si>
  <si>
    <t>2024-04-06</t>
  </si>
  <si>
    <t>Emir Lal</t>
  </si>
  <si>
    <t>TX0212</t>
  </si>
  <si>
    <t>Dhanuk Dube</t>
  </si>
  <si>
    <t>Yamunanagar</t>
  </si>
  <si>
    <t>TX0213</t>
  </si>
  <si>
    <t>2023-10-17</t>
  </si>
  <si>
    <t>Manjari Dhar</t>
  </si>
  <si>
    <t>TX0214</t>
  </si>
  <si>
    <t>2023-12-02</t>
  </si>
  <si>
    <t>Uthkarsh Garde</t>
  </si>
  <si>
    <t>TX0215</t>
  </si>
  <si>
    <t>Jayant Kala</t>
  </si>
  <si>
    <t>TX0216</t>
  </si>
  <si>
    <t>Eshani Kari</t>
  </si>
  <si>
    <t>TX0217</t>
  </si>
  <si>
    <t>2023-11-19</t>
  </si>
  <si>
    <t>Kismat Rama</t>
  </si>
  <si>
    <t>Durgapur</t>
  </si>
  <si>
    <t>TX0218</t>
  </si>
  <si>
    <t>Samiha Hayre</t>
  </si>
  <si>
    <t>Satna</t>
  </si>
  <si>
    <t>TX0219</t>
  </si>
  <si>
    <t>2024-09-12</t>
  </si>
  <si>
    <t>Samiha Sanghvi</t>
  </si>
  <si>
    <t>Jorhat</t>
  </si>
  <si>
    <t>TX0220</t>
  </si>
  <si>
    <t>2024-08-20</t>
  </si>
  <si>
    <t>Aarav Kothari</t>
  </si>
  <si>
    <t>TX0221</t>
  </si>
  <si>
    <t>2024-04-07</t>
  </si>
  <si>
    <t>Veer Sampath</t>
  </si>
  <si>
    <t>Bhind</t>
  </si>
  <si>
    <t>TX0222</t>
  </si>
  <si>
    <t>2024-03-02</t>
  </si>
  <si>
    <t>Raghav Edwin</t>
  </si>
  <si>
    <t>Jaunpur</t>
  </si>
  <si>
    <t>TX0223</t>
  </si>
  <si>
    <t>2024-08-10</t>
  </si>
  <si>
    <t>Nishith Som</t>
  </si>
  <si>
    <t>Hyderabad</t>
  </si>
  <si>
    <t>TX0224</t>
  </si>
  <si>
    <t>Pari Koshy</t>
  </si>
  <si>
    <t>Ahmedabad</t>
  </si>
  <si>
    <t>TX0225</t>
  </si>
  <si>
    <t>2024-02-16</t>
  </si>
  <si>
    <t>Reyansh Kohli</t>
  </si>
  <si>
    <t>Katni</t>
  </si>
  <si>
    <t>TX0226</t>
  </si>
  <si>
    <t>Manjari Handa</t>
  </si>
  <si>
    <t>TX0227</t>
  </si>
  <si>
    <t>2023-11-08</t>
  </si>
  <si>
    <t>Indranil Agrawal</t>
  </si>
  <si>
    <t>Pallavaram</t>
  </si>
  <si>
    <t>TX0228</t>
  </si>
  <si>
    <t>2024-02-23</t>
  </si>
  <si>
    <t>Badal Choudhary</t>
  </si>
  <si>
    <t>TX0229</t>
  </si>
  <si>
    <t>2023-11-05</t>
  </si>
  <si>
    <t>Purab Raja</t>
  </si>
  <si>
    <t>TX0230</t>
  </si>
  <si>
    <t>2024-06-24</t>
  </si>
  <si>
    <t>Nitara Jha</t>
  </si>
  <si>
    <t>Srikakulam</t>
  </si>
  <si>
    <t>TX0231</t>
  </si>
  <si>
    <t>Suhana Konda</t>
  </si>
  <si>
    <t>TX0232</t>
  </si>
  <si>
    <t>Hiran Tata</t>
  </si>
  <si>
    <t>TX0233</t>
  </si>
  <si>
    <t>2023-11-01</t>
  </si>
  <si>
    <t>Ayesha Sarraf</t>
  </si>
  <si>
    <t>Kozhikode</t>
  </si>
  <si>
    <t>TX0234</t>
  </si>
  <si>
    <t>2024-04-09</t>
  </si>
  <si>
    <t>Indranil Sinha</t>
  </si>
  <si>
    <t>TX0235</t>
  </si>
  <si>
    <t>Kaira Keer</t>
  </si>
  <si>
    <t>TX0236</t>
  </si>
  <si>
    <t>2024-02-08</t>
  </si>
  <si>
    <t>Vivaan Thaker</t>
  </si>
  <si>
    <t>Nashik</t>
  </si>
  <si>
    <t>TX0237</t>
  </si>
  <si>
    <t>2023-10-15</t>
  </si>
  <si>
    <t>Nehmat Mahajan</t>
  </si>
  <si>
    <t>TX0238</t>
  </si>
  <si>
    <t>2024-05-18</t>
  </si>
  <si>
    <t>Urvi Shankar</t>
  </si>
  <si>
    <t>TX0239</t>
  </si>
  <si>
    <t>Taimur Tank</t>
  </si>
  <si>
    <t>Raiganj</t>
  </si>
  <si>
    <t>TX0240</t>
  </si>
  <si>
    <t>2024-02-10</t>
  </si>
  <si>
    <t>Tarini Din</t>
  </si>
  <si>
    <t>Jalandhar</t>
  </si>
  <si>
    <t>TX0241</t>
  </si>
  <si>
    <t>2024-05-01</t>
  </si>
  <si>
    <t>Rasha Sundaram</t>
  </si>
  <si>
    <t>TX0242</t>
  </si>
  <si>
    <t>Saanvi Brar</t>
  </si>
  <si>
    <t>Rampur</t>
  </si>
  <si>
    <t>TX0243</t>
  </si>
  <si>
    <t>Rohan Verma</t>
  </si>
  <si>
    <t>Latur</t>
  </si>
  <si>
    <t>TX0244</t>
  </si>
  <si>
    <t>Shray Jain</t>
  </si>
  <si>
    <t>Dehradun</t>
  </si>
  <si>
    <t>TX0245</t>
  </si>
  <si>
    <t>2023-10-05</t>
  </si>
  <si>
    <t>Manikya Sani</t>
  </si>
  <si>
    <t>TX0246</t>
  </si>
  <si>
    <t>Rania Bahri</t>
  </si>
  <si>
    <t>Vasai-Virar</t>
  </si>
  <si>
    <t>TX0247</t>
  </si>
  <si>
    <t>Nishith Kata</t>
  </si>
  <si>
    <t>Gudivada</t>
  </si>
  <si>
    <t>TX0248</t>
  </si>
  <si>
    <t>Hansh Basak</t>
  </si>
  <si>
    <t>TX0249</t>
  </si>
  <si>
    <t>Taimur Vala</t>
  </si>
  <si>
    <t>TX0250</t>
  </si>
  <si>
    <t>Yuvraj  Gole</t>
  </si>
  <si>
    <t>Udaipur</t>
  </si>
  <si>
    <t>TX0251</t>
  </si>
  <si>
    <t>2024-04-05</t>
  </si>
  <si>
    <t>Tiya Bhandari</t>
  </si>
  <si>
    <t>Indore</t>
  </si>
  <si>
    <t>TX0252</t>
  </si>
  <si>
    <t>Fateh Aggarwal</t>
  </si>
  <si>
    <t>Hubli–Dharwad</t>
  </si>
  <si>
    <t>TX0253</t>
  </si>
  <si>
    <t>2024-05-29</t>
  </si>
  <si>
    <t>Ishita Mann</t>
  </si>
  <si>
    <t>Ongole</t>
  </si>
  <si>
    <t>TX0254</t>
  </si>
  <si>
    <t>Saanvi Kamdar</t>
  </si>
  <si>
    <t>Moradabad</t>
  </si>
  <si>
    <t>TX0255</t>
  </si>
  <si>
    <t>2023-12-10</t>
  </si>
  <si>
    <t>Gokul Bawa</t>
  </si>
  <si>
    <t>TX0256</t>
  </si>
  <si>
    <t>Sumer Krishna</t>
  </si>
  <si>
    <t>TX0257</t>
  </si>
  <si>
    <t>2024-09-18</t>
  </si>
  <si>
    <t>Renee Kaul</t>
  </si>
  <si>
    <t>TX0258</t>
  </si>
  <si>
    <t>Yashvi Acharya</t>
  </si>
  <si>
    <t>TX0259</t>
  </si>
  <si>
    <t>Jayant Madan</t>
  </si>
  <si>
    <t>TX0260</t>
  </si>
  <si>
    <t>Charvi Varghese</t>
  </si>
  <si>
    <t>TX0261</t>
  </si>
  <si>
    <t>Ryan Kanda</t>
  </si>
  <si>
    <t>TX0262</t>
  </si>
  <si>
    <t>2024-02-05</t>
  </si>
  <si>
    <t>Ahana  Jain</t>
  </si>
  <si>
    <t>TX0263</t>
  </si>
  <si>
    <t>Drishya Kara</t>
  </si>
  <si>
    <t>Patiala</t>
  </si>
  <si>
    <t>TX0264</t>
  </si>
  <si>
    <t>2024-01-25</t>
  </si>
  <si>
    <t>Aayush Choudhary</t>
  </si>
  <si>
    <t>Eluru</t>
  </si>
  <si>
    <t>TX0265</t>
  </si>
  <si>
    <t>2024-01-28</t>
  </si>
  <si>
    <t>Faiyaz Ahuja</t>
  </si>
  <si>
    <t>TX0266</t>
  </si>
  <si>
    <t>Prerak Kohli</t>
  </si>
  <si>
    <t>TX0267</t>
  </si>
  <si>
    <t>2023-10-12</t>
  </si>
  <si>
    <t>Shamik Kaul</t>
  </si>
  <si>
    <t>TX0268</t>
  </si>
  <si>
    <t>2024-08-17</t>
  </si>
  <si>
    <t>Umang Handa</t>
  </si>
  <si>
    <t>Panchkula</t>
  </si>
  <si>
    <t>TX0269</t>
  </si>
  <si>
    <t>2023-11-23</t>
  </si>
  <si>
    <t>Shaan Chhabra</t>
  </si>
  <si>
    <t>TX0270</t>
  </si>
  <si>
    <t>2023-12-29</t>
  </si>
  <si>
    <t>Zara Sen</t>
  </si>
  <si>
    <t>Varanasi</t>
  </si>
  <si>
    <t>TX0271</t>
  </si>
  <si>
    <t>2024-03-29</t>
  </si>
  <si>
    <t>Miraan Gala</t>
  </si>
  <si>
    <t>TX0272</t>
  </si>
  <si>
    <t>Darshit Singhal</t>
  </si>
  <si>
    <t>TX0273</t>
  </si>
  <si>
    <t>Advika Mandal</t>
  </si>
  <si>
    <t>TX0274</t>
  </si>
  <si>
    <t>Vihaan Ramachandran</t>
  </si>
  <si>
    <t>TX0275</t>
  </si>
  <si>
    <t>2024-01-20</t>
  </si>
  <si>
    <t>Nayantara Bail</t>
  </si>
  <si>
    <t>Bellary</t>
  </si>
  <si>
    <t>TX0276</t>
  </si>
  <si>
    <t>Alisha Arya</t>
  </si>
  <si>
    <t>TX0277</t>
  </si>
  <si>
    <t>2024-01-19</t>
  </si>
  <si>
    <t>Kiaan Krish</t>
  </si>
  <si>
    <t>Coimbatore</t>
  </si>
  <si>
    <t>TX0278</t>
  </si>
  <si>
    <t>2024-06-29</t>
  </si>
  <si>
    <t>Yashvi Ben</t>
  </si>
  <si>
    <t>TX0279</t>
  </si>
  <si>
    <t>2024-03-20</t>
  </si>
  <si>
    <t>Prisha Sachdeva</t>
  </si>
  <si>
    <t>TX0280</t>
  </si>
  <si>
    <t>Amira Comar</t>
  </si>
  <si>
    <t>Raurkela Industrial Township</t>
  </si>
  <si>
    <t>TX0281</t>
  </si>
  <si>
    <t>Stuvan Behl</t>
  </si>
  <si>
    <t>TX0282</t>
  </si>
  <si>
    <t>Jhanvi Kata</t>
  </si>
  <si>
    <t>Miryalaguda</t>
  </si>
  <si>
    <t>TX0283</t>
  </si>
  <si>
    <t>Farhan Grover</t>
  </si>
  <si>
    <t>TX0284</t>
  </si>
  <si>
    <t>Suhana Rau</t>
  </si>
  <si>
    <t>Gangtok</t>
  </si>
  <si>
    <t>TX0285</t>
  </si>
  <si>
    <t>Samarth Sampath</t>
  </si>
  <si>
    <t>TX0286</t>
  </si>
  <si>
    <t>Prerak Koshy</t>
  </si>
  <si>
    <t>TX0287</t>
  </si>
  <si>
    <t>Alia Chakrabarti</t>
  </si>
  <si>
    <t>TX0288</t>
  </si>
  <si>
    <t>2023-11-09</t>
  </si>
  <si>
    <t>Aradhya Gokhale</t>
  </si>
  <si>
    <t>TX0289</t>
  </si>
  <si>
    <t>2024-05-19</t>
  </si>
  <si>
    <t>Lakshit Ravi</t>
  </si>
  <si>
    <t>TX0290</t>
  </si>
  <si>
    <t>Rania Joshi</t>
  </si>
  <si>
    <t>Gwalior</t>
  </si>
  <si>
    <t>TX0291</t>
  </si>
  <si>
    <t>Dishani Verma</t>
  </si>
  <si>
    <t>TX0292</t>
  </si>
  <si>
    <t>Shray Sarraf</t>
  </si>
  <si>
    <t>Rewa</t>
  </si>
  <si>
    <t>TX0293</t>
  </si>
  <si>
    <t>Samarth Das</t>
  </si>
  <si>
    <t>Hajipur</t>
  </si>
  <si>
    <t>TX0294</t>
  </si>
  <si>
    <t>Renee Arora</t>
  </si>
  <si>
    <t>Kurnool</t>
  </si>
  <si>
    <t>TX0295</t>
  </si>
  <si>
    <t>Farhan Anne</t>
  </si>
  <si>
    <t>Baranagar</t>
  </si>
  <si>
    <t>TX0296</t>
  </si>
  <si>
    <t>Kaira Chakrabarti</t>
  </si>
  <si>
    <t>TX0297</t>
  </si>
  <si>
    <t>Adah Chada</t>
  </si>
  <si>
    <t>TX0298</t>
  </si>
  <si>
    <t>2024-01-31</t>
  </si>
  <si>
    <t>Bhamini Seth</t>
  </si>
  <si>
    <t>Kumbakonam</t>
  </si>
  <si>
    <t>TX0299</t>
  </si>
  <si>
    <t>Kaira Kar</t>
  </si>
  <si>
    <t>TX0300</t>
  </si>
  <si>
    <t>Aayush Halder</t>
  </si>
  <si>
    <t>TX0301</t>
  </si>
  <si>
    <t>2024-05-23</t>
  </si>
  <si>
    <t>Misha Vora</t>
  </si>
  <si>
    <t>TX0302</t>
  </si>
  <si>
    <t>2024-09-07</t>
  </si>
  <si>
    <t>Kismat Choudhary</t>
  </si>
  <si>
    <t>TX0303</t>
  </si>
  <si>
    <t>Sumer Bala</t>
  </si>
  <si>
    <t>Thoothukudi</t>
  </si>
  <si>
    <t>TX0304</t>
  </si>
  <si>
    <t>Prerak Bala</t>
  </si>
  <si>
    <t>Tumkur</t>
  </si>
  <si>
    <t>TX0305</t>
  </si>
  <si>
    <t>Zaina Char</t>
  </si>
  <si>
    <t>TX0306</t>
  </si>
  <si>
    <t>Aaryahi Rege</t>
  </si>
  <si>
    <t>TX0307</t>
  </si>
  <si>
    <t>Ivan Kala</t>
  </si>
  <si>
    <t>Mathura</t>
  </si>
  <si>
    <t>TX0308</t>
  </si>
  <si>
    <t>Zeeshan Sane</t>
  </si>
  <si>
    <t>TX0309</t>
  </si>
  <si>
    <t>Heer Shenoy</t>
  </si>
  <si>
    <t>North Dumdum</t>
  </si>
  <si>
    <t>TX0310</t>
  </si>
  <si>
    <t>Shalv Raval</t>
  </si>
  <si>
    <t>TX0311</t>
  </si>
  <si>
    <t>2023-10-25</t>
  </si>
  <si>
    <t>Azad Rajan</t>
  </si>
  <si>
    <t>TX0312</t>
  </si>
  <si>
    <t>2024-02-29</t>
  </si>
  <si>
    <t>Kiaan Tak</t>
  </si>
  <si>
    <t>Bidar</t>
  </si>
  <si>
    <t>TX0313</t>
  </si>
  <si>
    <t>Krish Sachdeva</t>
  </si>
  <si>
    <t>Loni</t>
  </si>
  <si>
    <t>TX0314</t>
  </si>
  <si>
    <t>2024-01-08</t>
  </si>
  <si>
    <t>Jayesh Shenoy</t>
  </si>
  <si>
    <t>TX0315</t>
  </si>
  <si>
    <t>2023-12-17</t>
  </si>
  <si>
    <t>Kavya Deo</t>
  </si>
  <si>
    <t>TX0316</t>
  </si>
  <si>
    <t>2024-03-05</t>
  </si>
  <si>
    <t>Nehmat Singh</t>
  </si>
  <si>
    <t>TX0317</t>
  </si>
  <si>
    <t>Arhaan Barad</t>
  </si>
  <si>
    <t>TX0318</t>
  </si>
  <si>
    <t>Miraan Bahl</t>
  </si>
  <si>
    <t>TX0319</t>
  </si>
  <si>
    <t>2024-08-24</t>
  </si>
  <si>
    <t>Damini Sani</t>
  </si>
  <si>
    <t>TX0320</t>
  </si>
  <si>
    <t>Tarini Saha</t>
  </si>
  <si>
    <t>Gandhinagar</t>
  </si>
  <si>
    <t>TX0321</t>
  </si>
  <si>
    <t>Taran Das</t>
  </si>
  <si>
    <t>Morbi</t>
  </si>
  <si>
    <t>TX0322</t>
  </si>
  <si>
    <t>2024-08-19</t>
  </si>
  <si>
    <t>Divyansh Rana</t>
  </si>
  <si>
    <t>Haridwar</t>
  </si>
  <si>
    <t>TX0323</t>
  </si>
  <si>
    <t>Piya Divan</t>
  </si>
  <si>
    <t>TX0324</t>
  </si>
  <si>
    <t>Amani Kale</t>
  </si>
  <si>
    <t>TX0325</t>
  </si>
  <si>
    <t>2024-06-05</t>
  </si>
  <si>
    <t>Rania Sahota</t>
  </si>
  <si>
    <t>TX0326</t>
  </si>
  <si>
    <t>Farhan Ghosh</t>
  </si>
  <si>
    <t>Pali</t>
  </si>
  <si>
    <t>TX0327</t>
  </si>
  <si>
    <t>Yuvaan Bava</t>
  </si>
  <si>
    <t>Nagercoil</t>
  </si>
  <si>
    <t>TX0328</t>
  </si>
  <si>
    <t>2023-12-09</t>
  </si>
  <si>
    <t>Khushi Chanda</t>
  </si>
  <si>
    <t>TX0329</t>
  </si>
  <si>
    <t>2024-05-06</t>
  </si>
  <si>
    <t>Shlok Ben</t>
  </si>
  <si>
    <t>Kolkata</t>
  </si>
  <si>
    <t>TX0330</t>
  </si>
  <si>
    <t>Sahil Goswami</t>
  </si>
  <si>
    <t>TX0331</t>
  </si>
  <si>
    <t>Kaira Chopra</t>
  </si>
  <si>
    <t>Rajkot</t>
  </si>
  <si>
    <t>TX0332</t>
  </si>
  <si>
    <t>Mishti Sarraf</t>
  </si>
  <si>
    <t>TX0333</t>
  </si>
  <si>
    <t>2024-03-11</t>
  </si>
  <si>
    <t>Azad Master</t>
  </si>
  <si>
    <t>Narasaraopet</t>
  </si>
  <si>
    <t>TX0334</t>
  </si>
  <si>
    <t>2023-11-02</t>
  </si>
  <si>
    <t>Kimaya Chawla</t>
  </si>
  <si>
    <t>TX0335</t>
  </si>
  <si>
    <t>Darshit Roy</t>
  </si>
  <si>
    <t>Bihar Sharif</t>
  </si>
  <si>
    <t>TX0336</t>
  </si>
  <si>
    <t>Alia Sule</t>
  </si>
  <si>
    <t>TX0337</t>
  </si>
  <si>
    <t>Mannat Karnik</t>
  </si>
  <si>
    <t>TX0338</t>
  </si>
  <si>
    <t>TX0339</t>
  </si>
  <si>
    <t>2024-04-15</t>
  </si>
  <si>
    <t>Pari Bhatt</t>
  </si>
  <si>
    <t>Bareilly</t>
  </si>
  <si>
    <t>TX0340</t>
  </si>
  <si>
    <t>2024-01-09</t>
  </si>
  <si>
    <t>Anay Chandran</t>
  </si>
  <si>
    <t>Kottayam</t>
  </si>
  <si>
    <t>TX0341</t>
  </si>
  <si>
    <t>Kavya Karpe</t>
  </si>
  <si>
    <t>Muzaffarnagar</t>
  </si>
  <si>
    <t>TX0342</t>
  </si>
  <si>
    <t>Farhan Gokhale</t>
  </si>
  <si>
    <t>Kadapa</t>
  </si>
  <si>
    <t>TX0343</t>
  </si>
  <si>
    <t>2023-11-16</t>
  </si>
  <si>
    <t>Dhanuk Shenoy</t>
  </si>
  <si>
    <t>Madanapalle</t>
  </si>
  <si>
    <t>TX0344</t>
  </si>
  <si>
    <t>Aarush Lalla</t>
  </si>
  <si>
    <t>TX0345</t>
  </si>
  <si>
    <t>2024-06-11</t>
  </si>
  <si>
    <t>Hridaan Swamy</t>
  </si>
  <si>
    <t>Belgaum</t>
  </si>
  <si>
    <t>TX0346</t>
  </si>
  <si>
    <t>2024-03-24</t>
  </si>
  <si>
    <t>Navya Balasubramanian</t>
  </si>
  <si>
    <t>Thiruvananthapuram</t>
  </si>
  <si>
    <t>TX0347</t>
  </si>
  <si>
    <t>Arhaan Korpal</t>
  </si>
  <si>
    <t>Bulandshahr</t>
  </si>
  <si>
    <t>TX0348</t>
  </si>
  <si>
    <t>Samiha Kunda</t>
  </si>
  <si>
    <t>TX0349</t>
  </si>
  <si>
    <t>2023-09-26</t>
  </si>
  <si>
    <t>Shayak Sawhney</t>
  </si>
  <si>
    <t>TX0350</t>
  </si>
  <si>
    <t>2024-02-04</t>
  </si>
  <si>
    <t>Aarna Chaudry</t>
  </si>
  <si>
    <t>TX0351</t>
  </si>
  <si>
    <t>Yasmin Guha</t>
  </si>
  <si>
    <t>TX0352</t>
  </si>
  <si>
    <t>Veer Chhabra</t>
  </si>
  <si>
    <t>TX0353</t>
  </si>
  <si>
    <t>2023-09-25</t>
  </si>
  <si>
    <t>Azad Dey</t>
  </si>
  <si>
    <t>TX0354</t>
  </si>
  <si>
    <t>2024-09-09</t>
  </si>
  <si>
    <t>Jiya Dara</t>
  </si>
  <si>
    <t>TX0355</t>
  </si>
  <si>
    <t>Nakul Bora</t>
  </si>
  <si>
    <t>TX0356</t>
  </si>
  <si>
    <t>Sara Din</t>
  </si>
  <si>
    <t>TX0357</t>
  </si>
  <si>
    <t>2024-03-16</t>
  </si>
  <si>
    <t>Baiju Gala</t>
  </si>
  <si>
    <t>TX0358</t>
  </si>
  <si>
    <t>2024-03-10</t>
  </si>
  <si>
    <t>Uthkarsh Som</t>
  </si>
  <si>
    <t>TX0359</t>
  </si>
  <si>
    <t>2024-03-04</t>
  </si>
  <si>
    <t>Drishya Iyengar</t>
  </si>
  <si>
    <t>TX0360</t>
  </si>
  <si>
    <t>2023-11-18</t>
  </si>
  <si>
    <t>Tara Maharaj</t>
  </si>
  <si>
    <t>TX0361</t>
  </si>
  <si>
    <t>Vardaniya Thaman</t>
  </si>
  <si>
    <t>Alappuzha</t>
  </si>
  <si>
    <t>TX0362</t>
  </si>
  <si>
    <t>2023-11-28</t>
  </si>
  <si>
    <t>Nishith Shah</t>
  </si>
  <si>
    <t>TX0363</t>
  </si>
  <si>
    <t>Dishani Shan</t>
  </si>
  <si>
    <t>TX0364</t>
  </si>
  <si>
    <t>Jiya Shukla</t>
  </si>
  <si>
    <t>TX0365</t>
  </si>
  <si>
    <t>Nehmat Sahota</t>
  </si>
  <si>
    <t>TX0366</t>
  </si>
  <si>
    <t>2024-08-09</t>
  </si>
  <si>
    <t>Azad Luthra</t>
  </si>
  <si>
    <t>Khandwa</t>
  </si>
  <si>
    <t>TX0367</t>
  </si>
  <si>
    <t>Eshani Toor</t>
  </si>
  <si>
    <t>TX0368</t>
  </si>
  <si>
    <t>Piya Jani</t>
  </si>
  <si>
    <t>TX0369</t>
  </si>
  <si>
    <t>Divit Sankaran</t>
  </si>
  <si>
    <t>Bhavnagar</t>
  </si>
  <si>
    <t>TX0370</t>
  </si>
  <si>
    <t>Jiya Sheth</t>
  </si>
  <si>
    <t>TX0371</t>
  </si>
  <si>
    <t>2023-11-24</t>
  </si>
  <si>
    <t>Rasha Rana</t>
  </si>
  <si>
    <t>Jamalpur</t>
  </si>
  <si>
    <t>TX0372</t>
  </si>
  <si>
    <t>2023-09-29</t>
  </si>
  <si>
    <t>Eshani Sawhney</t>
  </si>
  <si>
    <t>Khammam</t>
  </si>
  <si>
    <t>TX0373</t>
  </si>
  <si>
    <t>Anahi Thaman</t>
  </si>
  <si>
    <t>Davanagere</t>
  </si>
  <si>
    <t>TX0374</t>
  </si>
  <si>
    <t>Faiyaz Gulati</t>
  </si>
  <si>
    <t>TX0375</t>
  </si>
  <si>
    <t>2023-11-22</t>
  </si>
  <si>
    <t>Ryan Hari</t>
  </si>
  <si>
    <t>TX0376</t>
  </si>
  <si>
    <t>2023-11-17</t>
  </si>
  <si>
    <t>Ishaan Sama</t>
  </si>
  <si>
    <t>TX0377</t>
  </si>
  <si>
    <t>2024-04-19</t>
  </si>
  <si>
    <t>Samaira Borra</t>
  </si>
  <si>
    <t>TX0378</t>
  </si>
  <si>
    <t>Abram Dass</t>
  </si>
  <si>
    <t>Morena</t>
  </si>
  <si>
    <t>TX0379</t>
  </si>
  <si>
    <t>Vihaan Johal</t>
  </si>
  <si>
    <t>TX0380</t>
  </si>
  <si>
    <t>Jhanvi Dhar</t>
  </si>
  <si>
    <t>TX0381</t>
  </si>
  <si>
    <t>Saanvi Lalla</t>
  </si>
  <si>
    <t>Bathinda</t>
  </si>
  <si>
    <t>TX0382</t>
  </si>
  <si>
    <t>2024-09-01</t>
  </si>
  <si>
    <t>Eva Walia</t>
  </si>
  <si>
    <t>TX0383</t>
  </si>
  <si>
    <t>Shlok Ramanathan</t>
  </si>
  <si>
    <t>TX0384</t>
  </si>
  <si>
    <t>Prerak Chander</t>
  </si>
  <si>
    <t>TX0385</t>
  </si>
  <si>
    <t>Emir Doshi</t>
  </si>
  <si>
    <t>TX0386</t>
  </si>
  <si>
    <t>2023-12-26</t>
  </si>
  <si>
    <t>Yakshit Krishnamurthy</t>
  </si>
  <si>
    <t>TX0387</t>
  </si>
  <si>
    <t>Parinaaz Golla</t>
  </si>
  <si>
    <t>TX0388</t>
  </si>
  <si>
    <t>2024-07-24</t>
  </si>
  <si>
    <t>Anaya Gola</t>
  </si>
  <si>
    <t>TX0389</t>
  </si>
  <si>
    <t>2024-08-30</t>
  </si>
  <si>
    <t>Mahika Reddy</t>
  </si>
  <si>
    <t>Mango</t>
  </si>
  <si>
    <t>TX0390</t>
  </si>
  <si>
    <t>Krish Kashyap</t>
  </si>
  <si>
    <t>TX0391</t>
  </si>
  <si>
    <t>2023-11-26</t>
  </si>
  <si>
    <t>Ishaan Wable</t>
  </si>
  <si>
    <t>TX0392</t>
  </si>
  <si>
    <t>2024-06-28</t>
  </si>
  <si>
    <t>Eshani Zachariah</t>
  </si>
  <si>
    <t>TX0393</t>
  </si>
  <si>
    <t>Uthkarsh Shanker</t>
  </si>
  <si>
    <t>TX0394</t>
  </si>
  <si>
    <t>2024-05-10</t>
  </si>
  <si>
    <t>Raghav Chandra</t>
  </si>
  <si>
    <t>TX0395</t>
  </si>
  <si>
    <t>2024-02-28</t>
  </si>
  <si>
    <t>Prisha Raju</t>
  </si>
  <si>
    <t>Bangalore</t>
  </si>
  <si>
    <t>TX0396</t>
  </si>
  <si>
    <t>2024-02-25</t>
  </si>
  <si>
    <t>Nayantara Jani</t>
  </si>
  <si>
    <t>TX0397</t>
  </si>
  <si>
    <t>Ela Dash</t>
  </si>
  <si>
    <t>TX0398</t>
  </si>
  <si>
    <t>Alia Chauhan</t>
  </si>
  <si>
    <t>TX0399</t>
  </si>
  <si>
    <t>Devansh Hora</t>
  </si>
  <si>
    <t>Mehsana</t>
  </si>
  <si>
    <t>TX0400</t>
  </si>
  <si>
    <t>2024-03-21</t>
  </si>
  <si>
    <t>Tiya Shan</t>
  </si>
  <si>
    <t>Howrah</t>
  </si>
  <si>
    <t>TX0401</t>
  </si>
  <si>
    <t>2024-05-08</t>
  </si>
  <si>
    <t>Divyansh Lanka</t>
  </si>
  <si>
    <t>TX0402</t>
  </si>
  <si>
    <t>Tushar Jani</t>
  </si>
  <si>
    <t>TX0403</t>
  </si>
  <si>
    <t>2024-03-14</t>
  </si>
  <si>
    <t>Sana Joshi</t>
  </si>
  <si>
    <t>TX0404</t>
  </si>
  <si>
    <t>2024-05-02</t>
  </si>
  <si>
    <t>Sumer Mannan</t>
  </si>
  <si>
    <t>Giridih</t>
  </si>
  <si>
    <t>TX0405</t>
  </si>
  <si>
    <t>Ayesha Zacharia</t>
  </si>
  <si>
    <t>TX0406</t>
  </si>
  <si>
    <t>Elakshi Doshi</t>
  </si>
  <si>
    <t>TX0407</t>
  </si>
  <si>
    <t>Jivin Varughese</t>
  </si>
  <si>
    <t>TX0408</t>
  </si>
  <si>
    <t>Dhruv Sachdev</t>
  </si>
  <si>
    <t>TX0409</t>
  </si>
  <si>
    <t>Miraan Bhatt</t>
  </si>
  <si>
    <t>Guntakal</t>
  </si>
  <si>
    <t>TX0410</t>
  </si>
  <si>
    <t>Shlok Chand</t>
  </si>
  <si>
    <t>TX0411</t>
  </si>
  <si>
    <t>Gatik Biswas</t>
  </si>
  <si>
    <t>Kochi</t>
  </si>
  <si>
    <t>TX0412</t>
  </si>
  <si>
    <t>2024-04-14</t>
  </si>
  <si>
    <t>Arnav Sarraf</t>
  </si>
  <si>
    <t>TX0413</t>
  </si>
  <si>
    <t>2024-08-11</t>
  </si>
  <si>
    <t>Azad Kar</t>
  </si>
  <si>
    <t>TX0414</t>
  </si>
  <si>
    <t>Eva Krishnan</t>
  </si>
  <si>
    <t>TX0415</t>
  </si>
  <si>
    <t>2024-03-30</t>
  </si>
  <si>
    <t>Zoya Ramachandran</t>
  </si>
  <si>
    <t>TX0416</t>
  </si>
  <si>
    <t>Baiju Dey</t>
  </si>
  <si>
    <t>Ozhukarai</t>
  </si>
  <si>
    <t>TX0417</t>
  </si>
  <si>
    <t>2024-09-13</t>
  </si>
  <si>
    <t>Aaina Kapadia</t>
  </si>
  <si>
    <t>Madurai</t>
  </si>
  <si>
    <t>TX0418</t>
  </si>
  <si>
    <t>2024-08-15</t>
  </si>
  <si>
    <t>Aniruddh Golla</t>
  </si>
  <si>
    <t>TX0419</t>
  </si>
  <si>
    <t>2024-06-18</t>
  </si>
  <si>
    <t>Amira Sampath</t>
  </si>
  <si>
    <t>TX0420</t>
  </si>
  <si>
    <t>Anahi Savant</t>
  </si>
  <si>
    <t>TX0421</t>
  </si>
  <si>
    <t>2024-01-14</t>
  </si>
  <si>
    <t>Devansh Jaggi</t>
  </si>
  <si>
    <t>Karimnagar</t>
  </si>
  <si>
    <t>TX0422</t>
  </si>
  <si>
    <t>Hazel Kanda</t>
  </si>
  <si>
    <t>TX0423</t>
  </si>
  <si>
    <t>Saanvi Shroff</t>
  </si>
  <si>
    <t>TX0424</t>
  </si>
  <si>
    <t>2024-01-21</t>
  </si>
  <si>
    <t>Mahika Cherian</t>
  </si>
  <si>
    <t>TX0425</t>
  </si>
  <si>
    <t>Azad Borah</t>
  </si>
  <si>
    <t>TX0426</t>
  </si>
  <si>
    <t>2024-07-21</t>
  </si>
  <si>
    <t>Riya Bhalla</t>
  </si>
  <si>
    <t>Mysore</t>
  </si>
  <si>
    <t>TX0427</t>
  </si>
  <si>
    <t>Myra Sur</t>
  </si>
  <si>
    <t>Shivpuri</t>
  </si>
  <si>
    <t>TX0428</t>
  </si>
  <si>
    <t>Shlok Bhatt</t>
  </si>
  <si>
    <t>TX0429</t>
  </si>
  <si>
    <t>2023-10-23</t>
  </si>
  <si>
    <t>Kashvi Buch</t>
  </si>
  <si>
    <t>TX0430</t>
  </si>
  <si>
    <t>Mamooty Dugar</t>
  </si>
  <si>
    <t>TX0431</t>
  </si>
  <si>
    <t>Dhruv Sundaram</t>
  </si>
  <si>
    <t>Malda</t>
  </si>
  <si>
    <t>TX0432</t>
  </si>
  <si>
    <t>2024-03-26</t>
  </si>
  <si>
    <t>Hiran Suresh</t>
  </si>
  <si>
    <t>TX0433</t>
  </si>
  <si>
    <t>Purab Bhattacharyya</t>
  </si>
  <si>
    <t>TX0434</t>
  </si>
  <si>
    <t>Tejas Kulkarni</t>
  </si>
  <si>
    <t>Ranchi</t>
  </si>
  <si>
    <t>TX0435</t>
  </si>
  <si>
    <t>2024-05-20</t>
  </si>
  <si>
    <t>Vihaan Luthra</t>
  </si>
  <si>
    <t>TX0436</t>
  </si>
  <si>
    <t>Jhanvi Sankaran</t>
  </si>
  <si>
    <t>TX0437</t>
  </si>
  <si>
    <t>Farhan Madan</t>
  </si>
  <si>
    <t>TX0438</t>
  </si>
  <si>
    <t>Anvi Kalla</t>
  </si>
  <si>
    <t>Nagaon</t>
  </si>
  <si>
    <t>TX0439</t>
  </si>
  <si>
    <t>Kimaya Shere</t>
  </si>
  <si>
    <t>TX0440</t>
  </si>
  <si>
    <t>Devansh Baria</t>
  </si>
  <si>
    <t>TX0441</t>
  </si>
  <si>
    <t>Zain Sami</t>
  </si>
  <si>
    <t>TX0442</t>
  </si>
  <si>
    <t>Biju Balakrishnan</t>
  </si>
  <si>
    <t>TX0443</t>
  </si>
  <si>
    <t>Zara Golla</t>
  </si>
  <si>
    <t>TX0444</t>
  </si>
  <si>
    <t>Akarsh Tandon</t>
  </si>
  <si>
    <t>TX0445</t>
  </si>
  <si>
    <t>Himmat Hegde</t>
  </si>
  <si>
    <t>TX0446</t>
  </si>
  <si>
    <t>Kismat Kadakia</t>
  </si>
  <si>
    <t>TX0447</t>
  </si>
  <si>
    <t>2024-08-21</t>
  </si>
  <si>
    <t>Divij Ghosh</t>
  </si>
  <si>
    <t>TX0448</t>
  </si>
  <si>
    <t>Keya Dhaliwal</t>
  </si>
  <si>
    <t>TX0449</t>
  </si>
  <si>
    <t>Raunak Sunder</t>
  </si>
  <si>
    <t>TX0450</t>
  </si>
  <si>
    <t>2024-07-29</t>
  </si>
  <si>
    <t>Advik Dugal</t>
  </si>
  <si>
    <t>TX0451</t>
  </si>
  <si>
    <t>2024-06-04</t>
  </si>
  <si>
    <t>Saira Jayaraman</t>
  </si>
  <si>
    <t>TX0452</t>
  </si>
  <si>
    <t>Shlok Dayal</t>
  </si>
  <si>
    <t>Ulhasnagar</t>
  </si>
  <si>
    <t>TX0453</t>
  </si>
  <si>
    <t>2023-10-11</t>
  </si>
  <si>
    <t>Adah Tata</t>
  </si>
  <si>
    <t>Durg</t>
  </si>
  <si>
    <t>TX0454</t>
  </si>
  <si>
    <t>Ahana  Gandhi</t>
  </si>
  <si>
    <t>TX0455</t>
  </si>
  <si>
    <t>Dharmajan Dash</t>
  </si>
  <si>
    <t>Bijapur</t>
  </si>
  <si>
    <t>TX0456</t>
  </si>
  <si>
    <t>2024-09-19</t>
  </si>
  <si>
    <t>Elakshi Suresh</t>
  </si>
  <si>
    <t>TX0457</t>
  </si>
  <si>
    <t>Miraan Brar</t>
  </si>
  <si>
    <t>TX0458</t>
  </si>
  <si>
    <t>Vanya Kurian</t>
  </si>
  <si>
    <t>TX0459</t>
  </si>
  <si>
    <t>2024-06-20</t>
  </si>
  <si>
    <t>Advika Lall</t>
  </si>
  <si>
    <t>Nanded</t>
  </si>
  <si>
    <t>TX0460</t>
  </si>
  <si>
    <t>2023-11-25</t>
  </si>
  <si>
    <t>Vedika Varty</t>
  </si>
  <si>
    <t>TX0461</t>
  </si>
  <si>
    <t>Aaina Ramanathan</t>
  </si>
  <si>
    <t>TX0462</t>
  </si>
  <si>
    <t>2024-06-03</t>
  </si>
  <si>
    <t>Gokul Bhalla</t>
  </si>
  <si>
    <t>Anand</t>
  </si>
  <si>
    <t>TX0463</t>
  </si>
  <si>
    <t>Piya Hans</t>
  </si>
  <si>
    <t>TX0464</t>
  </si>
  <si>
    <t>Krish Sharaf</t>
  </si>
  <si>
    <t>Firozabad</t>
  </si>
  <si>
    <t>TX0465</t>
  </si>
  <si>
    <t>Suhana Singh</t>
  </si>
  <si>
    <t>TX0466</t>
  </si>
  <si>
    <t>Tarini Dugar</t>
  </si>
  <si>
    <t>Serampore</t>
  </si>
  <si>
    <t>TX0467</t>
  </si>
  <si>
    <t>Aarna Lalla</t>
  </si>
  <si>
    <t>TX0468</t>
  </si>
  <si>
    <t>Zain Dutt</t>
  </si>
  <si>
    <t>TX0469</t>
  </si>
  <si>
    <t>2023-12-28</t>
  </si>
  <si>
    <t>Dharmajan Dhar</t>
  </si>
  <si>
    <t>TX0470</t>
  </si>
  <si>
    <t>Aayush Srivastava</t>
  </si>
  <si>
    <t>TX0471</t>
  </si>
  <si>
    <t>Uthkarsh Batra</t>
  </si>
  <si>
    <t>TX0472</t>
  </si>
  <si>
    <t>Himmat Krishnan</t>
  </si>
  <si>
    <t>TX0473</t>
  </si>
  <si>
    <t>Kaira Bajwa</t>
  </si>
  <si>
    <t>TX0474</t>
  </si>
  <si>
    <t>Dhruv Jhaveri</t>
  </si>
  <si>
    <t>TX0475</t>
  </si>
  <si>
    <t>Lagan Gopal</t>
  </si>
  <si>
    <t>TX0476</t>
  </si>
  <si>
    <t>2024-07-30</t>
  </si>
  <si>
    <t>Hunar Varughese</t>
  </si>
  <si>
    <t>TX0477</t>
  </si>
  <si>
    <t>2024-06-10</t>
  </si>
  <si>
    <t>Arhaan Balay</t>
  </si>
  <si>
    <t>TX0478</t>
  </si>
  <si>
    <t>Shayak Das</t>
  </si>
  <si>
    <t>TX0479</t>
  </si>
  <si>
    <t>2024-03-18</t>
  </si>
  <si>
    <t>Shamik Doctor</t>
  </si>
  <si>
    <t>TX0480</t>
  </si>
  <si>
    <t>2024-02-26</t>
  </si>
  <si>
    <t>Akarsh Vig</t>
  </si>
  <si>
    <t>TX0481</t>
  </si>
  <si>
    <t>Ahana  Kade</t>
  </si>
  <si>
    <t>TX0482</t>
  </si>
  <si>
    <t>Seher Walia</t>
  </si>
  <si>
    <t>TX0483</t>
  </si>
  <si>
    <t>2023-09-24</t>
  </si>
  <si>
    <t>Aradhya Bir</t>
  </si>
  <si>
    <t>TX0484</t>
  </si>
  <si>
    <t>2024-09-08</t>
  </si>
  <si>
    <t>Taimur Gara</t>
  </si>
  <si>
    <t>Jamshedpur</t>
  </si>
  <si>
    <t>TX0485</t>
  </si>
  <si>
    <t>Anahita Tella</t>
  </si>
  <si>
    <t>TX0486</t>
  </si>
  <si>
    <t>Purab Chand</t>
  </si>
  <si>
    <t>TX0487</t>
  </si>
  <si>
    <t>Pihu Sachdeva</t>
  </si>
  <si>
    <t>TX0488</t>
  </si>
  <si>
    <t>TX0489</t>
  </si>
  <si>
    <t>Aaina Dayal</t>
  </si>
  <si>
    <t>TX0490</t>
  </si>
  <si>
    <t>Umang Dani</t>
  </si>
  <si>
    <t>TX0491</t>
  </si>
  <si>
    <t>Divij Kale</t>
  </si>
  <si>
    <t>TX0492</t>
  </si>
  <si>
    <t>Uthkarsh Sarraf</t>
  </si>
  <si>
    <t>TX0493</t>
  </si>
  <si>
    <t>Jayant Kuruvilla</t>
  </si>
  <si>
    <t>TX0494</t>
  </si>
  <si>
    <t>Ivan Walla</t>
  </si>
  <si>
    <t>Tadipatri</t>
  </si>
  <si>
    <t>TX0495</t>
  </si>
  <si>
    <t>Stuvan Ram</t>
  </si>
  <si>
    <t>TX0496</t>
  </si>
  <si>
    <t>Manjari Dewan</t>
  </si>
  <si>
    <t>TX0497</t>
  </si>
  <si>
    <t>Manjari D’Alia</t>
  </si>
  <si>
    <t>Ballia</t>
  </si>
  <si>
    <t>TX0498</t>
  </si>
  <si>
    <t>Saanvi Subramaniam</t>
  </si>
  <si>
    <t>TX0499</t>
  </si>
  <si>
    <t>2024-04-13</t>
  </si>
  <si>
    <t>Alisha Sur</t>
  </si>
  <si>
    <t>TX0500</t>
  </si>
  <si>
    <t>Nehmat Deshpande</t>
  </si>
  <si>
    <t>Lucknow</t>
  </si>
  <si>
    <t>TX0501</t>
  </si>
  <si>
    <t>Romil Kata</t>
  </si>
  <si>
    <t>TX0502</t>
  </si>
  <si>
    <t>Mohanlal Mandal</t>
  </si>
  <si>
    <t>TX0503</t>
  </si>
  <si>
    <t>Ela Comar</t>
  </si>
  <si>
    <t>Machilipatnam</t>
  </si>
  <si>
    <t>TX0504</t>
  </si>
  <si>
    <t>Lakshit Mannan</t>
  </si>
  <si>
    <t>TX0505</t>
  </si>
  <si>
    <t>2024-09-04</t>
  </si>
  <si>
    <t>Nayantara Gala</t>
  </si>
  <si>
    <t>Kolhapur</t>
  </si>
  <si>
    <t>TX0506</t>
  </si>
  <si>
    <t>Vihaan Ganguly</t>
  </si>
  <si>
    <t>TX0507</t>
  </si>
  <si>
    <t>2023-12-01</t>
  </si>
  <si>
    <t>Arhaan Ratti</t>
  </si>
  <si>
    <t>TX0508</t>
  </si>
  <si>
    <t>Tushar Bhagat</t>
  </si>
  <si>
    <t>TX0509</t>
  </si>
  <si>
    <t>Pari Deshpande</t>
  </si>
  <si>
    <t>TX0510</t>
  </si>
  <si>
    <t>Anahita Suresh</t>
  </si>
  <si>
    <t>TX0511</t>
  </si>
  <si>
    <t>Chirag Chacko</t>
  </si>
  <si>
    <t>TX0512</t>
  </si>
  <si>
    <t>Alia Arya</t>
  </si>
  <si>
    <t>TX0513</t>
  </si>
  <si>
    <t>Yasmin Shere</t>
  </si>
  <si>
    <t>TX0514</t>
  </si>
  <si>
    <t>Anvi Dube</t>
  </si>
  <si>
    <t>TX0515</t>
  </si>
  <si>
    <t>2024-07-27</t>
  </si>
  <si>
    <t>Yasmin Amble</t>
  </si>
  <si>
    <t>TX0516</t>
  </si>
  <si>
    <t>Yashvi Lall</t>
  </si>
  <si>
    <t>TX0517</t>
  </si>
  <si>
    <t>Misha Buch</t>
  </si>
  <si>
    <t>Danapur</t>
  </si>
  <si>
    <t>TX0518</t>
  </si>
  <si>
    <t>Keya Sastry</t>
  </si>
  <si>
    <t>TX0519</t>
  </si>
  <si>
    <t>Vivaan Sethi</t>
  </si>
  <si>
    <t>TX0520</t>
  </si>
  <si>
    <t>Pranay Agate</t>
  </si>
  <si>
    <t>TX0521</t>
  </si>
  <si>
    <t>Hunar Bassi</t>
  </si>
  <si>
    <t>TX0522</t>
  </si>
  <si>
    <t>Onkar Kar</t>
  </si>
  <si>
    <t>Gorakhpur</t>
  </si>
  <si>
    <t>TX0523</t>
  </si>
  <si>
    <t>Eshani Sekhon</t>
  </si>
  <si>
    <t>Nizamabad</t>
  </si>
  <si>
    <t>TX0524</t>
  </si>
  <si>
    <t>2024-07-20</t>
  </si>
  <si>
    <t>Vanya Suri</t>
  </si>
  <si>
    <t>TX0525</t>
  </si>
  <si>
    <t>Drishya Walia</t>
  </si>
  <si>
    <t>TX0526</t>
  </si>
  <si>
    <t>2024-06-23</t>
  </si>
  <si>
    <t>Vanya Khalsa</t>
  </si>
  <si>
    <t>TX0527</t>
  </si>
  <si>
    <t>Hridaan Koshy</t>
  </si>
  <si>
    <t>TX0528</t>
  </si>
  <si>
    <t>Hansh Madan</t>
  </si>
  <si>
    <t>TX0529</t>
  </si>
  <si>
    <t>Dhruv Rajan</t>
  </si>
  <si>
    <t>TX0530</t>
  </si>
  <si>
    <t>Jayesh Sethi</t>
  </si>
  <si>
    <t>TX0531</t>
  </si>
  <si>
    <t>Kavya Majumdar</t>
  </si>
  <si>
    <t>TX0532</t>
  </si>
  <si>
    <t>Badal Yadav</t>
  </si>
  <si>
    <t>TX0533</t>
  </si>
  <si>
    <t>Badal Dara</t>
  </si>
  <si>
    <t>TX0534</t>
  </si>
  <si>
    <t>2024-07-26</t>
  </si>
  <si>
    <t>Lakshay Kadakia</t>
  </si>
  <si>
    <t>TX0535</t>
  </si>
  <si>
    <t>2023-12-19</t>
  </si>
  <si>
    <t>Ranbir Wason</t>
  </si>
  <si>
    <t>TX0536</t>
  </si>
  <si>
    <t>Pari Badami</t>
  </si>
  <si>
    <t>TX0537</t>
  </si>
  <si>
    <t>Indrans Raman</t>
  </si>
  <si>
    <t>TX0538</t>
  </si>
  <si>
    <t>Yuvaan Dar</t>
  </si>
  <si>
    <t>TX0539</t>
  </si>
  <si>
    <t>2023-10-01</t>
  </si>
  <si>
    <t>Bhavin Bobal</t>
  </si>
  <si>
    <t>TX0540</t>
  </si>
  <si>
    <t>2024-03-03</t>
  </si>
  <si>
    <t>Samaira Ravel</t>
  </si>
  <si>
    <t>TX0541</t>
  </si>
  <si>
    <t>2024-01-13</t>
  </si>
  <si>
    <t>Abram Anne</t>
  </si>
  <si>
    <t>TX0542</t>
  </si>
  <si>
    <t>Aayush Yohannan</t>
  </si>
  <si>
    <t>TX0543</t>
  </si>
  <si>
    <t>Yakshit Khare</t>
  </si>
  <si>
    <t>TX0544</t>
  </si>
  <si>
    <t>2024-04-16</t>
  </si>
  <si>
    <t>Nakul Batra</t>
  </si>
  <si>
    <t>Thrissur</t>
  </si>
  <si>
    <t>TX0545</t>
  </si>
  <si>
    <t>Anya Saha</t>
  </si>
  <si>
    <t>Barasat</t>
  </si>
  <si>
    <t>TX0546</t>
  </si>
  <si>
    <t>2024-05-30</t>
  </si>
  <si>
    <t>Ela Rout</t>
  </si>
  <si>
    <t>TX0547</t>
  </si>
  <si>
    <t>2024-05-14</t>
  </si>
  <si>
    <t>Jayant Kade</t>
  </si>
  <si>
    <t>TX0548</t>
  </si>
  <si>
    <t>Charvi Sura</t>
  </si>
  <si>
    <t>Malegaon</t>
  </si>
  <si>
    <t>TX0549</t>
  </si>
  <si>
    <t>Samarth Saxena</t>
  </si>
  <si>
    <t>TX0550</t>
  </si>
  <si>
    <t>Nirvaan Sibal</t>
  </si>
  <si>
    <t>TX0551</t>
  </si>
  <si>
    <t>Azad Gaba</t>
  </si>
  <si>
    <t>TX0552</t>
  </si>
  <si>
    <t>Abram Vasa</t>
  </si>
  <si>
    <t>TX0553</t>
  </si>
  <si>
    <t>Shalv Wason</t>
  </si>
  <si>
    <t>TX0554</t>
  </si>
  <si>
    <t>Anay Sandhu</t>
  </si>
  <si>
    <t>TX0555</t>
  </si>
  <si>
    <t>Urvi Raja</t>
  </si>
  <si>
    <t>TX0556</t>
  </si>
  <si>
    <t>2024-05-05</t>
  </si>
  <si>
    <t>Uthkarsh Chaudhari</t>
  </si>
  <si>
    <t>TX0557</t>
  </si>
  <si>
    <t>Navya Raman</t>
  </si>
  <si>
    <t>TX0558</t>
  </si>
  <si>
    <t>Damini Lala</t>
  </si>
  <si>
    <t>TX0559</t>
  </si>
  <si>
    <t>Sara Rastogi</t>
  </si>
  <si>
    <t>TX0560</t>
  </si>
  <si>
    <t>Vardaniya Sathe</t>
  </si>
  <si>
    <t>TX0561</t>
  </si>
  <si>
    <t>Prisha Divan</t>
  </si>
  <si>
    <t>TX0562</t>
  </si>
  <si>
    <t>Nirvi Randhawa</t>
  </si>
  <si>
    <t>TX0563</t>
  </si>
  <si>
    <t>Pranay Ram</t>
  </si>
  <si>
    <t>Agra</t>
  </si>
  <si>
    <t>TX0564</t>
  </si>
  <si>
    <t>Emir Chakraborty</t>
  </si>
  <si>
    <t>TX0565</t>
  </si>
  <si>
    <t>Hridaan Dugar</t>
  </si>
  <si>
    <t>TX0566</t>
  </si>
  <si>
    <t>Vihaan Loyal</t>
  </si>
  <si>
    <t>TX0567</t>
  </si>
  <si>
    <t>Miraan Sachdeva</t>
  </si>
  <si>
    <t>TX0568</t>
  </si>
  <si>
    <t>Purab Varkey</t>
  </si>
  <si>
    <t>TX0569</t>
  </si>
  <si>
    <t>Kashvi Zachariah</t>
  </si>
  <si>
    <t>Bhilwara</t>
  </si>
  <si>
    <t>TX0570</t>
  </si>
  <si>
    <t>Ranbir Ranganathan</t>
  </si>
  <si>
    <t>TX0571</t>
  </si>
  <si>
    <t>Zoya Swamy</t>
  </si>
  <si>
    <t>TX0572</t>
  </si>
  <si>
    <t>TX0573</t>
  </si>
  <si>
    <t>Ela Khalsa</t>
  </si>
  <si>
    <t>Ramgarh</t>
  </si>
  <si>
    <t>TX0574</t>
  </si>
  <si>
    <t>2024-05-03</t>
  </si>
  <si>
    <t>Lavanya Swamy</t>
  </si>
  <si>
    <t>TX0575</t>
  </si>
  <si>
    <t>Divit Dhingra</t>
  </si>
  <si>
    <t>TX0576</t>
  </si>
  <si>
    <t>Kismat Banik</t>
  </si>
  <si>
    <t>TX0577</t>
  </si>
  <si>
    <t>2024-04-27</t>
  </si>
  <si>
    <t>Adira Krish</t>
  </si>
  <si>
    <t>TX0578</t>
  </si>
  <si>
    <t>Umang Saraf</t>
  </si>
  <si>
    <t>Mira-Bhayandar</t>
  </si>
  <si>
    <t>TX0579</t>
  </si>
  <si>
    <t>2023-10-07</t>
  </si>
  <si>
    <t>Parinaaz Bhakta</t>
  </si>
  <si>
    <t>TX0580</t>
  </si>
  <si>
    <t>Romil Varty</t>
  </si>
  <si>
    <t>TX0581</t>
  </si>
  <si>
    <t>Miraya Manda</t>
  </si>
  <si>
    <t>Count of Transaction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</si>
</sst>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 * #,##0_ ;_ * \-#,##0_ ;_ * &quot;-&quot;??_ ;_ @_ "/>
    <numFmt numFmtId="165" formatCode="_ * #,##0.00_ ;_ * \-#,##0.00_ ;_ * &quot;-&quot;??_ ;_ @_ "/>
    <numFmt numFmtId="166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8" fillId="7" borderId="0" applyNumberFormat="0" applyBorder="0" applyAlignment="0" applyProtection="0"/>
    <xf numFmtId="0" fontId="10" fillId="0" borderId="0" applyNumberFormat="0" applyFill="0" applyBorder="0" applyAlignment="0" applyProtection="0"/>
    <xf numFmtId="165" fontId="1" fillId="0" borderId="0" applyFont="0" applyFill="0" applyBorder="0" applyAlignment="0" applyProtection="0"/>
  </cellStyleXfs>
  <cellXfs count="42">
    <xf numFmtId="0" fontId="0" fillId="0" borderId="0" xfId="0"/>
    <xf numFmtId="0" fontId="3" fillId="2" borderId="0" xfId="0" applyFont="1" applyFill="1" applyBorder="1" applyAlignment="1">
      <alignment horizontal="center" vertical="top"/>
    </xf>
    <xf numFmtId="0" fontId="4" fillId="0" borderId="0" xfId="0" applyFont="1" applyBorder="1" applyAlignment="1">
      <alignment horizontal="left" indent="1"/>
    </xf>
    <xf numFmtId="0" fontId="4" fillId="0" borderId="0" xfId="0" applyFont="1"/>
    <xf numFmtId="0" fontId="0" fillId="2" borderId="0" xfId="0" applyFill="1"/>
    <xf numFmtId="0" fontId="0" fillId="0" borderId="0" xfId="0" applyFill="1"/>
    <xf numFmtId="0" fontId="5" fillId="3" borderId="0" xfId="0" applyFont="1" applyFill="1"/>
    <xf numFmtId="0" fontId="2" fillId="4" borderId="0" xfId="0" applyFont="1" applyFill="1"/>
    <xf numFmtId="0" fontId="6" fillId="3" borderId="0" xfId="0" applyFont="1" applyFill="1"/>
    <xf numFmtId="164" fontId="0" fillId="0" borderId="0" xfId="0" applyNumberFormat="1"/>
    <xf numFmtId="0" fontId="4" fillId="0" borderId="0" xfId="0" applyFont="1" applyBorder="1"/>
    <xf numFmtId="0" fontId="0" fillId="5" borderId="0" xfId="0" applyFill="1"/>
    <xf numFmtId="2" fontId="0" fillId="0" borderId="0" xfId="0" applyNumberFormat="1"/>
    <xf numFmtId="0" fontId="0" fillId="0" borderId="0" xfId="0" applyAlignment="1"/>
    <xf numFmtId="0" fontId="0" fillId="0" borderId="0" xfId="0" applyAlignment="1">
      <alignment wrapText="1"/>
    </xf>
    <xf numFmtId="14" fontId="0" fillId="0" borderId="0" xfId="0" applyNumberFormat="1"/>
    <xf numFmtId="0" fontId="7" fillId="2" borderId="4" xfId="0" applyFont="1" applyFill="1" applyBorder="1" applyAlignment="1">
      <alignment horizontal="left" indent="1"/>
    </xf>
    <xf numFmtId="0" fontId="7" fillId="2" borderId="4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left" indent="1"/>
    </xf>
    <xf numFmtId="0" fontId="4" fillId="6" borderId="4" xfId="0" applyFont="1" applyFill="1" applyBorder="1" applyAlignment="1">
      <alignment horizontal="left" indent="2"/>
    </xf>
    <xf numFmtId="164" fontId="4" fillId="6" borderId="3" xfId="1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left" indent="1"/>
    </xf>
    <xf numFmtId="0" fontId="4" fillId="0" borderId="4" xfId="0" applyFont="1" applyBorder="1" applyAlignment="1">
      <alignment horizontal="left" indent="2"/>
    </xf>
    <xf numFmtId="164" fontId="4" fillId="0" borderId="3" xfId="1" applyNumberFormat="1" applyFont="1" applyBorder="1" applyAlignment="1">
      <alignment horizontal="center"/>
    </xf>
    <xf numFmtId="0" fontId="4" fillId="0" borderId="2" xfId="0" applyFont="1" applyBorder="1" applyAlignment="1">
      <alignment horizontal="left" indent="1"/>
    </xf>
    <xf numFmtId="0" fontId="4" fillId="0" borderId="2" xfId="0" applyFont="1" applyBorder="1" applyAlignment="1">
      <alignment horizontal="left" indent="2"/>
    </xf>
    <xf numFmtId="164" fontId="4" fillId="0" borderId="1" xfId="1" applyNumberFormat="1" applyFont="1" applyBorder="1" applyAlignment="1">
      <alignment horizontal="center"/>
    </xf>
    <xf numFmtId="0" fontId="3" fillId="6" borderId="4" xfId="0" applyFont="1" applyFill="1" applyBorder="1" applyAlignment="1">
      <alignment horizontal="left" indent="1"/>
    </xf>
    <xf numFmtId="0" fontId="3" fillId="0" borderId="4" xfId="0" applyFont="1" applyBorder="1" applyAlignment="1">
      <alignment horizontal="left" indent="1"/>
    </xf>
    <xf numFmtId="0" fontId="4" fillId="0" borderId="0" xfId="0" applyFont="1" applyBorder="1" applyAlignment="1">
      <alignment horizontal="left" indent="2"/>
    </xf>
    <xf numFmtId="164" fontId="4" fillId="0" borderId="0" xfId="1" applyNumberFormat="1" applyFont="1" applyBorder="1" applyAlignment="1">
      <alignment horizontal="center"/>
    </xf>
    <xf numFmtId="0" fontId="3" fillId="0" borderId="0" xfId="0" applyFont="1" applyBorder="1" applyAlignment="1">
      <alignment horizontal="left" indent="1"/>
    </xf>
    <xf numFmtId="0" fontId="10" fillId="0" borderId="0" xfId="3"/>
    <xf numFmtId="0" fontId="0" fillId="0" borderId="0" xfId="0"/>
    <xf numFmtId="0" fontId="9" fillId="0" borderId="0" xfId="2" applyFont="1" applyFill="1"/>
    <xf numFmtId="166" fontId="0" fillId="0" borderId="0" xfId="4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1" fillId="0" borderId="0" xfId="0" applyFont="1" applyAlignment="1">
      <alignment horizontal="center" vertical="top"/>
    </xf>
    <xf numFmtId="14" fontId="11" fillId="0" borderId="0" xfId="0" applyNumberFormat="1" applyFont="1" applyAlignment="1">
      <alignment horizontal="center" vertical="top"/>
    </xf>
  </cellXfs>
  <cellStyles count="5">
    <cellStyle name="Accent1" xfId="2" builtinId="29"/>
    <cellStyle name="Comma" xfId="1" builtinId="3"/>
    <cellStyle name="Comma 2" xfId="4" xr:uid="{00000000-0005-0000-0000-00002F000000}"/>
    <cellStyle name="Hyperlink" xfId="3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numFmt numFmtId="19" formatCode="dd/mm/yy"/>
    </dxf>
    <dxf>
      <fill>
        <patternFill patternType="solid">
          <fgColor indexed="64"/>
          <bgColor theme="2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522288</xdr:colOff>
      <xdr:row>0</xdr:row>
      <xdr:rowOff>84137</xdr:rowOff>
    </xdr:from>
    <xdr:to>
      <xdr:col>7</xdr:col>
      <xdr:colOff>115909</xdr:colOff>
      <xdr:row>4</xdr:row>
      <xdr:rowOff>28828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6017CC88-12BD-45C7-9C8C-5A1DEB139355}"/>
            </a:ext>
          </a:extLst>
        </xdr:cNvPr>
        <xdr:cNvSpPr txBox="1"/>
      </xdr:nvSpPr>
      <xdr:spPr>
        <a:xfrm>
          <a:off x="3494088" y="84137"/>
          <a:ext cx="2641621" cy="66859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IN" sz="1300" b="1"/>
            <a:t>3D Maps Tours
</a:t>
          </a:r>
          <a:r>
            <a:rPr lang="en-IN" sz="1100"/>
            <a:t>This workbook has 3D Maps tours available.
Open 3D Maps to edit or play the tours.</a:t>
          </a:r>
        </a:p>
      </xdr:txBody>
    </xdr:sp>
    <xdr:clientData/>
  </xdr:twoCellAnchor>
  <xdr:oneCellAnchor>
    <xdr:from>
      <xdr:col>3</xdr:col>
      <xdr:colOff>204788</xdr:colOff>
      <xdr:row>6</xdr:row>
      <xdr:rowOff>109538</xdr:rowOff>
    </xdr:from>
    <xdr:ext cx="2847975" cy="405432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43B8CF9-460A-4ED0-B0FB-0BB113261B69}"/>
            </a:ext>
          </a:extLst>
        </xdr:cNvPr>
        <xdr:cNvSpPr/>
      </xdr:nvSpPr>
      <xdr:spPr>
        <a:xfrm>
          <a:off x="3786188" y="1195388"/>
          <a:ext cx="2847975" cy="405432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IN" sz="2000" b="1" cap="none" spc="0">
              <a:ln w="12700" cmpd="sng">
                <a:solidFill>
                  <a:schemeClr val="accent4"/>
                </a:solidFill>
                <a:prstDash val="solid"/>
              </a:ln>
              <a:gradFill>
                <a:gsLst>
                  <a:gs pos="0">
                    <a:schemeClr val="accent4"/>
                  </a:gs>
                  <a:gs pos="4000">
                    <a:schemeClr val="accent4">
                      <a:lumMod val="60000"/>
                      <a:lumOff val="40000"/>
                    </a:schemeClr>
                  </a:gs>
                  <a:gs pos="87000">
                    <a:schemeClr val="accent4">
                      <a:lumMod val="20000"/>
                      <a:lumOff val="80000"/>
                    </a:schemeClr>
                  </a:gs>
                </a:gsLst>
                <a:lin ang="5400000"/>
              </a:gradFill>
              <a:effectLst/>
            </a:rPr>
            <a:t>Type Something</a:t>
          </a:r>
          <a:r>
            <a:rPr lang="en-IN" sz="2000" b="1" cap="none" spc="0" baseline="0">
              <a:ln w="12700" cmpd="sng">
                <a:solidFill>
                  <a:schemeClr val="accent4"/>
                </a:solidFill>
                <a:prstDash val="solid"/>
              </a:ln>
              <a:gradFill>
                <a:gsLst>
                  <a:gs pos="0">
                    <a:schemeClr val="accent4"/>
                  </a:gs>
                  <a:gs pos="4000">
                    <a:schemeClr val="accent4">
                      <a:lumMod val="60000"/>
                      <a:lumOff val="40000"/>
                    </a:schemeClr>
                  </a:gs>
                  <a:gs pos="87000">
                    <a:schemeClr val="accent4">
                      <a:lumMod val="20000"/>
                      <a:lumOff val="80000"/>
                    </a:schemeClr>
                  </a:gs>
                </a:gsLst>
                <a:lin ang="5400000"/>
              </a:gradFill>
              <a:effectLst/>
            </a:rPr>
            <a:t> Here</a:t>
          </a:r>
          <a:endParaRPr lang="en-IN" sz="2000" b="1" cap="none" spc="0">
            <a:ln w="12700" cmpd="sng">
              <a:solidFill>
                <a:schemeClr val="accent4"/>
              </a:solidFill>
              <a:prstDash val="solid"/>
            </a:ln>
            <a:gradFill>
              <a:gsLst>
                <a:gs pos="0">
                  <a:schemeClr val="accent4"/>
                </a:gs>
                <a:gs pos="4000">
                  <a:schemeClr val="accent4">
                    <a:lumMod val="60000"/>
                    <a:lumOff val="40000"/>
                  </a:schemeClr>
                </a:gs>
                <a:gs pos="87000">
                  <a:schemeClr val="accent4">
                    <a:lumMod val="20000"/>
                    <a:lumOff val="80000"/>
                  </a:schemeClr>
                </a:gs>
              </a:gsLst>
              <a:lin ang="5400000"/>
            </a:gradFill>
            <a:effectLst/>
          </a:endParaRP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220.433174189813" createdVersion="6" refreshedVersion="6" minRefreshableVersion="3" recordCount="43" xr:uid="{7022CA4A-33F3-4CD9-907F-60FE208DC7E1}">
  <cacheSource type="worksheet">
    <worksheetSource name="Table2"/>
  </cacheSource>
  <cacheFields count="9">
    <cacheField name="OrderDate" numFmtId="14">
      <sharedItems containsSemiMixedTypes="0" containsNonDate="0" containsDate="1" containsString="0" minDate="2018-01-06T00:00:00" maxDate="2019-12-22T00:00:00" count="43">
        <d v="2018-09-01T00:00:00"/>
        <d v="2019-08-24T00:00:00"/>
        <d v="2019-06-17T00:00:00"/>
        <d v="2018-09-18T00:00:00"/>
        <d v="2019-02-18T00:00:00"/>
        <d v="2019-08-07T00:00:00"/>
        <d v="2019-03-24T00:00:00"/>
        <d v="2019-07-21T00:00:00"/>
        <d v="2018-11-08T00:00:00"/>
        <d v="2019-03-07T00:00:00"/>
        <d v="2019-07-04T00:00:00"/>
        <d v="2018-12-29T00:00:00"/>
        <d v="2019-11-17T00:00:00"/>
        <d v="2018-11-25T00:00:00"/>
        <d v="2018-02-26T00:00:00"/>
        <d v="2019-09-10T00:00:00"/>
        <d v="2018-10-05T00:00:00"/>
        <d v="2019-12-21T00:00:00"/>
        <d v="2018-10-22T00:00:00"/>
        <d v="2018-07-12T00:00:00"/>
        <d v="2019-10-31T00:00:00"/>
        <d v="2019-09-27T00:00:00"/>
        <d v="2019-04-27T00:00:00"/>
        <d v="2019-01-15T00:00:00"/>
        <d v="2018-01-23T00:00:00"/>
        <d v="2019-10-14T00:00:00"/>
        <d v="2018-04-01T00:00:00"/>
        <d v="2018-06-08T00:00:00"/>
        <d v="2018-05-22T00:00:00"/>
        <d v="2019-05-31T00:00:00"/>
        <d v="2018-07-29T00:00:00"/>
        <d v="2018-08-15T00:00:00"/>
        <d v="2018-02-09T00:00:00"/>
        <d v="2019-02-01T00:00:00"/>
        <d v="2019-12-04T00:00:00"/>
        <d v="2019-05-14T00:00:00"/>
        <d v="2018-03-15T00:00:00"/>
        <d v="2019-04-10T00:00:00"/>
        <d v="2018-12-12T00:00:00"/>
        <d v="2018-04-18T00:00:00"/>
        <d v="2018-06-25T00:00:00"/>
        <d v="2018-05-05T00:00:00"/>
        <d v="2018-01-06T00:00:00"/>
      </sharedItems>
    </cacheField>
    <cacheField name="Region" numFmtId="0">
      <sharedItems count="4">
        <s v="Central"/>
        <s v="West"/>
        <s v="Indian"/>
        <s v="East"/>
      </sharedItems>
    </cacheField>
    <cacheField name="Manager" numFmtId="0">
      <sharedItems count="4">
        <s v="Douglas"/>
        <s v="Timothy"/>
        <s v="Hermann"/>
        <s v="Martha"/>
      </sharedItems>
    </cacheField>
    <cacheField name="SalesMan" numFmtId="0">
      <sharedItems count="11">
        <s v="John"/>
        <s v="Stephen"/>
        <s v="Shelli"/>
        <s v="Alexander"/>
        <s v="Luis"/>
        <s v="Sigal"/>
        <s v="Karen"/>
        <s v="David"/>
        <s v="Steven"/>
        <s v="Diana"/>
        <s v="Michael"/>
      </sharedItems>
    </cacheField>
    <cacheField name="Item" numFmtId="0">
      <sharedItems count="5">
        <s v="Desk"/>
        <s v="Video Games"/>
        <s v="Home Theater"/>
        <s v="Cell Phone"/>
        <s v="Television"/>
      </sharedItems>
    </cacheField>
    <cacheField name="Units" numFmtId="0">
      <sharedItems containsSemiMixedTypes="0" containsString="0" containsNumber="1" containsInteger="1" minValue="2" maxValue="96"/>
    </cacheField>
    <cacheField name="Unit_price" numFmtId="0">
      <sharedItems containsSemiMixedTypes="0" containsString="0" containsNumber="1" minValue="58.5" maxValue="1198"/>
    </cacheField>
    <cacheField name="Sale_amt" numFmtId="0">
      <sharedItems containsSemiMixedTypes="0" containsString="0" containsNumber="1" minValue="375" maxValue="113810"/>
    </cacheField>
    <cacheField name="Payment Type" numFmtId="0">
      <sharedItems count="4">
        <s v="NET BANKING"/>
        <s v="CASH"/>
        <s v="DEBIT CARD"/>
        <s v="UPI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220.438618518521" createdVersion="6" refreshedVersion="6" minRefreshableVersion="3" recordCount="581" xr:uid="{A25CE34F-D5A3-4465-9576-67E2AD17D10C}">
  <cacheSource type="worksheet">
    <worksheetSource ref="A1:L582" sheet="SalesData"/>
  </cacheSource>
  <cacheFields count="12">
    <cacheField name="Transaction ID" numFmtId="0">
      <sharedItems count="581">
        <s v="TX0001"/>
        <s v="TX0002"/>
        <s v="TX0003"/>
        <s v="TX0004"/>
        <s v="TX0005"/>
        <s v="TX0006"/>
        <s v="TX0007"/>
        <s v="TX0008"/>
        <s v="TX0009"/>
        <s v="TX0010"/>
        <s v="TX0011"/>
        <s v="TX0012"/>
        <s v="TX0013"/>
        <s v="TX0014"/>
        <s v="TX0015"/>
        <s v="TX0016"/>
        <s v="TX0017"/>
        <s v="TX0018"/>
        <s v="TX0019"/>
        <s v="TX0020"/>
        <s v="TX0021"/>
        <s v="TX0022"/>
        <s v="TX0023"/>
        <s v="TX0024"/>
        <s v="TX0025"/>
        <s v="TX0026"/>
        <s v="TX0027"/>
        <s v="TX0028"/>
        <s v="TX0029"/>
        <s v="TX0030"/>
        <s v="TX0031"/>
        <s v="TX0032"/>
        <s v="TX0033"/>
        <s v="TX0034"/>
        <s v="TX0035"/>
        <s v="TX0036"/>
        <s v="TX0037"/>
        <s v="TX0038"/>
        <s v="TX0039"/>
        <s v="TX0040"/>
        <s v="TX0041"/>
        <s v="TX0042"/>
        <s v="TX0043"/>
        <s v="TX0044"/>
        <s v="TX0045"/>
        <s v="TX0046"/>
        <s v="TX0047"/>
        <s v="TX0048"/>
        <s v="TX0049"/>
        <s v="TX0050"/>
        <s v="TX0051"/>
        <s v="TX0052"/>
        <s v="TX0053"/>
        <s v="TX0054"/>
        <s v="TX0055"/>
        <s v="TX0056"/>
        <s v="TX0057"/>
        <s v="TX0058"/>
        <s v="TX0059"/>
        <s v="TX0060"/>
        <s v="TX0061"/>
        <s v="TX0062"/>
        <s v="TX0063"/>
        <s v="TX0064"/>
        <s v="TX0065"/>
        <s v="TX0066"/>
        <s v="TX0067"/>
        <s v="TX0068"/>
        <s v="TX0069"/>
        <s v="TX0070"/>
        <s v="TX0071"/>
        <s v="TX0072"/>
        <s v="TX0073"/>
        <s v="TX0074"/>
        <s v="TX0075"/>
        <s v="TX0076"/>
        <s v="TX0077"/>
        <s v="TX0078"/>
        <s v="TX0079"/>
        <s v="TX0080"/>
        <s v="TX0081"/>
        <s v="TX0082"/>
        <s v="TX0083"/>
        <s v="TX0084"/>
        <s v="TX0085"/>
        <s v="TX0086"/>
        <s v="TX0087"/>
        <s v="TX0088"/>
        <s v="TX0089"/>
        <s v="TX0090"/>
        <s v="TX0091"/>
        <s v="TX0092"/>
        <s v="TX0093"/>
        <s v="TX0094"/>
        <s v="TX0095"/>
        <s v="TX0096"/>
        <s v="TX0097"/>
        <s v="TX0098"/>
        <s v="TX0099"/>
        <s v="TX0100"/>
        <s v="TX0101"/>
        <s v="TX0102"/>
        <s v="TX0103"/>
        <s v="TX0104"/>
        <s v="TX0105"/>
        <s v="TX0106"/>
        <s v="TX0107"/>
        <s v="TX0108"/>
        <s v="TX0109"/>
        <s v="TX0110"/>
        <s v="TX0111"/>
        <s v="TX0112"/>
        <s v="TX0113"/>
        <s v="TX0114"/>
        <s v="TX0115"/>
        <s v="TX0116"/>
        <s v="TX0117"/>
        <s v="TX0118"/>
        <s v="TX0119"/>
        <s v="TX0120"/>
        <s v="TX0121"/>
        <s v="TX0122"/>
        <s v="TX0123"/>
        <s v="TX0124"/>
        <s v="TX0125"/>
        <s v="TX0126"/>
        <s v="TX0127"/>
        <s v="TX0128"/>
        <s v="TX0129"/>
        <s v="TX0130"/>
        <s v="TX0131"/>
        <s v="TX0132"/>
        <s v="TX0133"/>
        <s v="TX0134"/>
        <s v="TX0135"/>
        <s v="TX0136"/>
        <s v="TX0137"/>
        <s v="TX0138"/>
        <s v="TX0139"/>
        <s v="TX0140"/>
        <s v="TX0141"/>
        <s v="TX0142"/>
        <s v="TX0143"/>
        <s v="TX0144"/>
        <s v="TX0145"/>
        <s v="TX0146"/>
        <s v="TX0147"/>
        <s v="TX0148"/>
        <s v="TX0149"/>
        <s v="TX0150"/>
        <s v="TX0151"/>
        <s v="TX0152"/>
        <s v="TX0153"/>
        <s v="TX0154"/>
        <s v="TX0155"/>
        <s v="TX0156"/>
        <s v="TX0157"/>
        <s v="TX0158"/>
        <s v="TX0159"/>
        <s v="TX0160"/>
        <s v="TX0161"/>
        <s v="TX0162"/>
        <s v="TX0163"/>
        <s v="TX0164"/>
        <s v="TX0165"/>
        <s v="TX0166"/>
        <s v="TX0167"/>
        <s v="TX0168"/>
        <s v="TX0169"/>
        <s v="TX0170"/>
        <s v="TX0171"/>
        <s v="TX0172"/>
        <s v="TX0173"/>
        <s v="TX0174"/>
        <s v="TX0175"/>
        <s v="TX0176"/>
        <s v="TX0177"/>
        <s v="TX0178"/>
        <s v="TX0179"/>
        <s v="TX0180"/>
        <s v="TX0181"/>
        <s v="TX0182"/>
        <s v="TX0183"/>
        <s v="TX0184"/>
        <s v="TX0185"/>
        <s v="TX0186"/>
        <s v="TX0187"/>
        <s v="TX0188"/>
        <s v="TX0189"/>
        <s v="TX0190"/>
        <s v="TX0191"/>
        <s v="TX0192"/>
        <s v="TX0193"/>
        <s v="TX0194"/>
        <s v="TX0195"/>
        <s v="TX0196"/>
        <s v="TX0197"/>
        <s v="TX0198"/>
        <s v="TX0199"/>
        <s v="TX0200"/>
        <s v="TX0201"/>
        <s v="TX0202"/>
        <s v="TX0203"/>
        <s v="TX0204"/>
        <s v="TX0205"/>
        <s v="TX0206"/>
        <s v="TX0207"/>
        <s v="TX0208"/>
        <s v="TX0209"/>
        <s v="TX0210"/>
        <s v="TX0211"/>
        <s v="TX0212"/>
        <s v="TX0213"/>
        <s v="TX0214"/>
        <s v="TX0215"/>
        <s v="TX0216"/>
        <s v="TX0217"/>
        <s v="TX0218"/>
        <s v="TX0219"/>
        <s v="TX0220"/>
        <s v="TX0221"/>
        <s v="TX0222"/>
        <s v="TX0223"/>
        <s v="TX0224"/>
        <s v="TX0225"/>
        <s v="TX0226"/>
        <s v="TX0227"/>
        <s v="TX0228"/>
        <s v="TX0229"/>
        <s v="TX0230"/>
        <s v="TX0231"/>
        <s v="TX0232"/>
        <s v="TX0233"/>
        <s v="TX0234"/>
        <s v="TX0235"/>
        <s v="TX0236"/>
        <s v="TX0237"/>
        <s v="TX0238"/>
        <s v="TX0239"/>
        <s v="TX0240"/>
        <s v="TX0241"/>
        <s v="TX0242"/>
        <s v="TX0243"/>
        <s v="TX0244"/>
        <s v="TX0245"/>
        <s v="TX0246"/>
        <s v="TX0247"/>
        <s v="TX0248"/>
        <s v="TX0249"/>
        <s v="TX0250"/>
        <s v="TX0251"/>
        <s v="TX0252"/>
        <s v="TX0253"/>
        <s v="TX0254"/>
        <s v="TX0255"/>
        <s v="TX0256"/>
        <s v="TX0257"/>
        <s v="TX0258"/>
        <s v="TX0259"/>
        <s v="TX0260"/>
        <s v="TX0261"/>
        <s v="TX0262"/>
        <s v="TX0263"/>
        <s v="TX0264"/>
        <s v="TX0265"/>
        <s v="TX0266"/>
        <s v="TX0267"/>
        <s v="TX0268"/>
        <s v="TX0269"/>
        <s v="TX0270"/>
        <s v="TX0271"/>
        <s v="TX0272"/>
        <s v="TX0273"/>
        <s v="TX0274"/>
        <s v="TX0275"/>
        <s v="TX0276"/>
        <s v="TX0277"/>
        <s v="TX0278"/>
        <s v="TX0279"/>
        <s v="TX0280"/>
        <s v="TX0281"/>
        <s v="TX0282"/>
        <s v="TX0283"/>
        <s v="TX0284"/>
        <s v="TX0285"/>
        <s v="TX0286"/>
        <s v="TX0287"/>
        <s v="TX0288"/>
        <s v="TX0289"/>
        <s v="TX0290"/>
        <s v="TX0291"/>
        <s v="TX0292"/>
        <s v="TX0293"/>
        <s v="TX0294"/>
        <s v="TX0295"/>
        <s v="TX0296"/>
        <s v="TX0297"/>
        <s v="TX0298"/>
        <s v="TX0299"/>
        <s v="TX0300"/>
        <s v="TX0301"/>
        <s v="TX0302"/>
        <s v="TX0303"/>
        <s v="TX0304"/>
        <s v="TX0305"/>
        <s v="TX0306"/>
        <s v="TX0307"/>
        <s v="TX0308"/>
        <s v="TX0309"/>
        <s v="TX0310"/>
        <s v="TX0311"/>
        <s v="TX0312"/>
        <s v="TX0313"/>
        <s v="TX0314"/>
        <s v="TX0315"/>
        <s v="TX0316"/>
        <s v="TX0317"/>
        <s v="TX0318"/>
        <s v="TX0319"/>
        <s v="TX0320"/>
        <s v="TX0321"/>
        <s v="TX0322"/>
        <s v="TX0323"/>
        <s v="TX0324"/>
        <s v="TX0325"/>
        <s v="TX0326"/>
        <s v="TX0327"/>
        <s v="TX0328"/>
        <s v="TX0329"/>
        <s v="TX0330"/>
        <s v="TX0331"/>
        <s v="TX0332"/>
        <s v="TX0333"/>
        <s v="TX0334"/>
        <s v="TX0335"/>
        <s v="TX0336"/>
        <s v="TX0337"/>
        <s v="TX0338"/>
        <s v="TX0339"/>
        <s v="TX0340"/>
        <s v="TX0341"/>
        <s v="TX0342"/>
        <s v="TX0343"/>
        <s v="TX0344"/>
        <s v="TX0345"/>
        <s v="TX0346"/>
        <s v="TX0347"/>
        <s v="TX0348"/>
        <s v="TX0349"/>
        <s v="TX0350"/>
        <s v="TX0351"/>
        <s v="TX0352"/>
        <s v="TX0353"/>
        <s v="TX0354"/>
        <s v="TX0355"/>
        <s v="TX0356"/>
        <s v="TX0357"/>
        <s v="TX0358"/>
        <s v="TX0359"/>
        <s v="TX0360"/>
        <s v="TX0361"/>
        <s v="TX0362"/>
        <s v="TX0363"/>
        <s v="TX0364"/>
        <s v="TX0365"/>
        <s v="TX0366"/>
        <s v="TX0367"/>
        <s v="TX0368"/>
        <s v="TX0369"/>
        <s v="TX0370"/>
        <s v="TX0371"/>
        <s v="TX0372"/>
        <s v="TX0373"/>
        <s v="TX0374"/>
        <s v="TX0375"/>
        <s v="TX0376"/>
        <s v="TX0377"/>
        <s v="TX0378"/>
        <s v="TX0379"/>
        <s v="TX0380"/>
        <s v="TX0381"/>
        <s v="TX0382"/>
        <s v="TX0383"/>
        <s v="TX0384"/>
        <s v="TX0385"/>
        <s v="TX0386"/>
        <s v="TX0387"/>
        <s v="TX0388"/>
        <s v="TX0389"/>
        <s v="TX0390"/>
        <s v="TX0391"/>
        <s v="TX0392"/>
        <s v="TX0393"/>
        <s v="TX0394"/>
        <s v="TX0395"/>
        <s v="TX0396"/>
        <s v="TX0397"/>
        <s v="TX0398"/>
        <s v="TX0399"/>
        <s v="TX0400"/>
        <s v="TX0401"/>
        <s v="TX0402"/>
        <s v="TX0403"/>
        <s v="TX0404"/>
        <s v="TX0405"/>
        <s v="TX0406"/>
        <s v="TX0407"/>
        <s v="TX0408"/>
        <s v="TX0409"/>
        <s v="TX0410"/>
        <s v="TX0411"/>
        <s v="TX0412"/>
        <s v="TX0413"/>
        <s v="TX0414"/>
        <s v="TX0415"/>
        <s v="TX0416"/>
        <s v="TX0417"/>
        <s v="TX0418"/>
        <s v="TX0419"/>
        <s v="TX0420"/>
        <s v="TX0421"/>
        <s v="TX0422"/>
        <s v="TX0423"/>
        <s v="TX0424"/>
        <s v="TX0425"/>
        <s v="TX0426"/>
        <s v="TX0427"/>
        <s v="TX0428"/>
        <s v="TX0429"/>
        <s v="TX0430"/>
        <s v="TX0431"/>
        <s v="TX0432"/>
        <s v="TX0433"/>
        <s v="TX0434"/>
        <s v="TX0435"/>
        <s v="TX0436"/>
        <s v="TX0437"/>
        <s v="TX0438"/>
        <s v="TX0439"/>
        <s v="TX0440"/>
        <s v="TX0441"/>
        <s v="TX0442"/>
        <s v="TX0443"/>
        <s v="TX0444"/>
        <s v="TX0445"/>
        <s v="TX0446"/>
        <s v="TX0447"/>
        <s v="TX0448"/>
        <s v="TX0449"/>
        <s v="TX0450"/>
        <s v="TX0451"/>
        <s v="TX0452"/>
        <s v="TX0453"/>
        <s v="TX0454"/>
        <s v="TX0455"/>
        <s v="TX0456"/>
        <s v="TX0457"/>
        <s v="TX0458"/>
        <s v="TX0459"/>
        <s v="TX0460"/>
        <s v="TX0461"/>
        <s v="TX0462"/>
        <s v="TX0463"/>
        <s v="TX0464"/>
        <s v="TX0465"/>
        <s v="TX0466"/>
        <s v="TX0467"/>
        <s v="TX0468"/>
        <s v="TX0469"/>
        <s v="TX0470"/>
        <s v="TX0471"/>
        <s v="TX0472"/>
        <s v="TX0473"/>
        <s v="TX0474"/>
        <s v="TX0475"/>
        <s v="TX0476"/>
        <s v="TX0477"/>
        <s v="TX0478"/>
        <s v="TX0479"/>
        <s v="TX0480"/>
        <s v="TX0481"/>
        <s v="TX0482"/>
        <s v="TX0483"/>
        <s v="TX0484"/>
        <s v="TX0485"/>
        <s v="TX0486"/>
        <s v="TX0487"/>
        <s v="TX0488"/>
        <s v="TX0489"/>
        <s v="TX0490"/>
        <s v="TX0491"/>
        <s v="TX0492"/>
        <s v="TX0493"/>
        <s v="TX0494"/>
        <s v="TX0495"/>
        <s v="TX0496"/>
        <s v="TX0497"/>
        <s v="TX0498"/>
        <s v="TX0499"/>
        <s v="TX0500"/>
        <s v="TX0501"/>
        <s v="TX0502"/>
        <s v="TX0503"/>
        <s v="TX0504"/>
        <s v="TX0505"/>
        <s v="TX0506"/>
        <s v="TX0507"/>
        <s v="TX0508"/>
        <s v="TX0509"/>
        <s v="TX0510"/>
        <s v="TX0511"/>
        <s v="TX0512"/>
        <s v="TX0513"/>
        <s v="TX0514"/>
        <s v="TX0515"/>
        <s v="TX0516"/>
        <s v="TX0517"/>
        <s v="TX0518"/>
        <s v="TX0519"/>
        <s v="TX0520"/>
        <s v="TX0521"/>
        <s v="TX0522"/>
        <s v="TX0523"/>
        <s v="TX0524"/>
        <s v="TX0525"/>
        <s v="TX0526"/>
        <s v="TX0527"/>
        <s v="TX0528"/>
        <s v="TX0529"/>
        <s v="TX0530"/>
        <s v="TX0531"/>
        <s v="TX0532"/>
        <s v="TX0533"/>
        <s v="TX0534"/>
        <s v="TX0535"/>
        <s v="TX0536"/>
        <s v="TX0537"/>
        <s v="TX0538"/>
        <s v="TX0539"/>
        <s v="TX0540"/>
        <s v="TX0541"/>
        <s v="TX0542"/>
        <s v="TX0543"/>
        <s v="TX0544"/>
        <s v="TX0545"/>
        <s v="TX0546"/>
        <s v="TX0547"/>
        <s v="TX0548"/>
        <s v="TX0549"/>
        <s v="TX0550"/>
        <s v="TX0551"/>
        <s v="TX0552"/>
        <s v="TX0553"/>
        <s v="TX0554"/>
        <s v="TX0555"/>
        <s v="TX0556"/>
        <s v="TX0557"/>
        <s v="TX0558"/>
        <s v="TX0559"/>
        <s v="TX0560"/>
        <s v="TX0561"/>
        <s v="TX0562"/>
        <s v="TX0563"/>
        <s v="TX0564"/>
        <s v="TX0565"/>
        <s v="TX0566"/>
        <s v="TX0567"/>
        <s v="TX0568"/>
        <s v="TX0569"/>
        <s v="TX0570"/>
        <s v="TX0571"/>
        <s v="TX0572"/>
        <s v="TX0573"/>
        <s v="TX0574"/>
        <s v="TX0575"/>
        <s v="TX0576"/>
        <s v="TX0577"/>
        <s v="TX0578"/>
        <s v="TX0579"/>
        <s v="TX0580"/>
        <s v="TX0581"/>
      </sharedItems>
    </cacheField>
    <cacheField name="Product" numFmtId="0">
      <sharedItems/>
    </cacheField>
    <cacheField name="Quantity" numFmtId="0">
      <sharedItems containsSemiMixedTypes="0" containsString="0" containsNumber="1" containsInteger="1" minValue="1" maxValue="9"/>
    </cacheField>
    <cacheField name="Unit Price (INR)" numFmtId="0">
      <sharedItems containsSemiMixedTypes="0" containsString="0" containsNumber="1" containsInteger="1" minValue="2043" maxValue="19870"/>
    </cacheField>
    <cacheField name="Sales Date" numFmtId="14">
      <sharedItems/>
    </cacheField>
    <cacheField name="Customer Name" numFmtId="0">
      <sharedItems/>
    </cacheField>
    <cacheField name="City" numFmtId="0">
      <sharedItems count="262">
        <s v="Bharatpur"/>
        <s v="Nellore"/>
        <s v="New Delhi"/>
        <s v="Gandhidham"/>
        <s v="Surendranagar Dudhrej"/>
        <s v="Proddatur"/>
        <s v="Buxar"/>
        <s v="Srinagar"/>
        <s v="Karaikudi"/>
        <s v="Guna"/>
        <s v="Panihati"/>
        <s v="Sasaram"/>
        <s v="Jodhpur"/>
        <s v="Jalna"/>
        <s v="Unnao"/>
        <s v="Bahraich"/>
        <s v="Mau"/>
        <s v="Tadepalligudem"/>
        <s v="Tiruchirappalli"/>
        <s v="Dhule"/>
        <s v="Orai"/>
        <s v="Chapra"/>
        <s v="Mangalore"/>
        <s v="Kharagpur"/>
        <s v="Bhubaneswar"/>
        <s v="Tirupati"/>
        <s v="Kota"/>
        <s v="Gaya"/>
        <s v="Vijayawada"/>
        <s v="Delhi"/>
        <s v="Nandyal"/>
        <s v="Kavali"/>
        <s v="Shimoga"/>
        <s v="Ichalkaranji"/>
        <s v="Berhampore"/>
        <s v="Nangloi Jat"/>
        <s v="Bhimavaram"/>
        <s v="Pimpri-Chinchwad"/>
        <s v="Bhatpara"/>
        <s v="Solapur"/>
        <s v="Kamarhati"/>
        <s v="Salem"/>
        <s v="Silchar"/>
        <s v="Nadiad"/>
        <s v="Panvel"/>
        <s v="Bhopal"/>
        <s v="Cuttack"/>
        <s v="Agartala"/>
        <s v="Etawah"/>
        <s v="Hazaribagh"/>
        <s v="Darbhanga"/>
        <s v="Ghaziabad"/>
        <s v="Sambhal"/>
        <s v="Akola"/>
        <s v="Phusro"/>
        <s v="Allahabad"/>
        <s v="Tirunelveli"/>
        <s v="Satara"/>
        <s v="Imphal"/>
        <s v="Parbhani"/>
        <s v="Warangal"/>
        <s v="Jalgaon"/>
        <s v="Sri Ganganagar"/>
        <s v="Jehanabad"/>
        <s v="Visakhapatnam"/>
        <s v="Vadodara"/>
        <s v="Hosur"/>
        <s v="Amritsar"/>
        <s v="Chennai"/>
        <s v="Nagpur"/>
        <s v="Bokaro"/>
        <s v="Jaipur"/>
        <s v="Aurangabad"/>
        <s v="Surat"/>
        <s v="Amravati"/>
        <s v="Bhalswa Jahangir Pur"/>
        <s v="Kishanganj"/>
        <s v="Pune"/>
        <s v="Sikar"/>
        <s v="Dhanbad"/>
        <s v="Avadi"/>
        <s v="Tezpur"/>
        <s v="Bhusawal"/>
        <s v="Bhiwani"/>
        <s v="Bardhaman"/>
        <s v="Jhansi"/>
        <s v="Karawal Nagar"/>
        <s v="Siliguri"/>
        <s v="Motihari"/>
        <s v="Erode"/>
        <s v="Bhilai"/>
        <s v="Chandigarh"/>
        <s v="Jamnagar"/>
        <s v="Saharanpur"/>
        <s v="Katihar"/>
        <s v="Gurgaon"/>
        <s v="Begusarai"/>
        <s v="Aligarh"/>
        <s v="Dehri"/>
        <s v="Korba"/>
        <s v="Sirsa"/>
        <s v="Hindupur"/>
        <s v="Deoghar"/>
        <s v="Bidhannagar"/>
        <s v="Mumbai"/>
        <s v="Chandrapur"/>
        <s v="Arrah"/>
        <s v="Bilaspur"/>
        <s v="Raipur"/>
        <s v="Dibrugarh"/>
        <s v="Karnal"/>
        <s v="Vellore"/>
        <s v="Ujjain"/>
        <s v="Mirzapur"/>
        <s v="Kulti"/>
        <s v="Dewas"/>
        <s v="Rajahmundry"/>
        <s v="Pondicherry"/>
        <s v="Khora "/>
        <s v="Thanjavur"/>
        <s v="Fatehpur"/>
        <s v="Maheshtala"/>
        <s v="Guntur"/>
        <s v="Singrauli"/>
        <s v="Madhyamgram"/>
        <s v="Guwahati"/>
        <s v="Sagar"/>
        <s v="Bongaigaon"/>
        <s v="Tenali"/>
        <s v="Raebareli"/>
        <s v="Meerut"/>
        <s v="Pudukkottai"/>
        <s v="Sambalpur"/>
        <s v="Junagadh"/>
        <s v="Ludhiana"/>
        <s v="Naihati"/>
        <s v="Aizawl"/>
        <s v="Hapur"/>
        <s v="Panipat"/>
        <s v="Bettiah"/>
        <s v="Gulbarga"/>
        <s v="Alwar"/>
        <s v="Amroha"/>
        <s v="Vijayanagaram"/>
        <s v="Ahmednagar"/>
        <s v="Ratlam"/>
        <s v="Rourkela"/>
        <s v="Anantapur"/>
        <s v="Udupi"/>
        <s v="Suryapet"/>
        <s v="Chinsurah"/>
        <s v="Sultan Pur Majra"/>
        <s v="Mahbubnagar"/>
        <s v="Yamunanagar"/>
        <s v="Durgapur"/>
        <s v="Satna"/>
        <s v="Jorhat"/>
        <s v="Bhind"/>
        <s v="Jaunpur"/>
        <s v="Hyderabad"/>
        <s v="Ahmedabad"/>
        <s v="Katni"/>
        <s v="Pallavaram"/>
        <s v="Srikakulam"/>
        <s v="Kozhikode"/>
        <s v="Nashik"/>
        <s v="Raiganj"/>
        <s v="Jalandhar"/>
        <s v="Rampur"/>
        <s v="Latur"/>
        <s v="Dehradun"/>
        <s v="Vasai-Virar"/>
        <s v="Gudivada"/>
        <s v="Udaipur"/>
        <s v="Indore"/>
        <s v="Hubli–Dharwad"/>
        <s v="Ongole"/>
        <s v="Moradabad"/>
        <s v="Patiala"/>
        <s v="Eluru"/>
        <s v="Panchkula"/>
        <s v="Varanasi"/>
        <s v="Bellary"/>
        <s v="Coimbatore"/>
        <s v="Raurkela Industrial Township"/>
        <s v="Miryalaguda"/>
        <s v="Gangtok"/>
        <s v="Gwalior"/>
        <s v="Rewa"/>
        <s v="Hajipur"/>
        <s v="Kurnool"/>
        <s v="Baranagar"/>
        <s v="Kumbakonam"/>
        <s v="Thoothukudi"/>
        <s v="Tumkur"/>
        <s v="Mathura"/>
        <s v="North Dumdum"/>
        <s v="Bidar"/>
        <s v="Loni"/>
        <s v="Gandhinagar"/>
        <s v="Morbi"/>
        <s v="Haridwar"/>
        <s v="Pali"/>
        <s v="Nagercoil"/>
        <s v="Kolkata"/>
        <s v="Rajkot"/>
        <s v="Narasaraopet"/>
        <s v="Bihar Sharif"/>
        <s v="Bareilly"/>
        <s v="Kottayam"/>
        <s v="Muzaffarnagar"/>
        <s v="Kadapa"/>
        <s v="Madanapalle"/>
        <s v="Belgaum"/>
        <s v="Thiruvananthapuram"/>
        <s v="Bulandshahr"/>
        <s v="Alappuzha"/>
        <s v="Khandwa"/>
        <s v="Bhavnagar"/>
        <s v="Jamalpur"/>
        <s v="Khammam"/>
        <s v="Davanagere"/>
        <s v="Morena"/>
        <s v="Bathinda"/>
        <s v="Mango"/>
        <s v="Bangalore"/>
        <s v="Mehsana"/>
        <s v="Howrah"/>
        <s v="Giridih"/>
        <s v="Guntakal"/>
        <s v="Kochi"/>
        <s v="Ozhukarai"/>
        <s v="Madurai"/>
        <s v="Karimnagar"/>
        <s v="Mysore"/>
        <s v="Shivpuri"/>
        <s v="Malda"/>
        <s v="Ranchi"/>
        <s v="Nagaon"/>
        <s v="Ulhasnagar"/>
        <s v="Durg"/>
        <s v="Bijapur"/>
        <s v="Nanded"/>
        <s v="Anand"/>
        <s v="Firozabad"/>
        <s v="Serampore"/>
        <s v="Jamshedpur"/>
        <s v="Tadipatri"/>
        <s v="Ballia"/>
        <s v="Lucknow"/>
        <s v="Machilipatnam"/>
        <s v="Kolhapur"/>
        <s v="Danapur"/>
        <s v="Gorakhpur"/>
        <s v="Nizamabad"/>
        <s v="Thrissur"/>
        <s v="Barasat"/>
        <s v="Malegaon"/>
        <s v="Agra"/>
        <s v="Bhilwara"/>
        <s v="Ramgarh"/>
        <s v="Mira-Bhayandar"/>
      </sharedItems>
    </cacheField>
    <cacheField name="State" numFmtId="0">
      <sharedItems count="28">
        <s v="Arunachal Pradesh"/>
        <s v="Odisha"/>
        <s v="Bihar"/>
        <s v="Manipur"/>
        <s v="Madhya Pradesh"/>
        <s v="Meghalaya"/>
        <s v="Goa"/>
        <s v="Punjab"/>
        <s v="Assam"/>
        <s v="Sikkim"/>
        <s v="Tripura"/>
        <s v="Karnataka"/>
        <s v="Uttar Pradesh"/>
        <s v="Andhra Pradesh"/>
        <s v="Gujarat"/>
        <s v="Telangana"/>
        <s v="Kerala"/>
        <s v="Mizoram"/>
        <s v="Nagaland"/>
        <s v="Uttarakhand"/>
        <s v="Chhattisgarh"/>
        <s v="Himachal Pradesh"/>
        <s v="Rajasthan"/>
        <s v="West Bengal"/>
        <s v="Jharkhand"/>
        <s v="Haryana"/>
        <s v="Tamil Nadu"/>
        <s v="Maharashtra"/>
      </sharedItems>
    </cacheField>
    <cacheField name="Country" numFmtId="0">
      <sharedItems/>
    </cacheField>
    <cacheField name="Sales Channel" numFmtId="0">
      <sharedItems/>
    </cacheField>
    <cacheField name="Payment Type" numFmtId="0">
      <sharedItems/>
    </cacheField>
    <cacheField name="Total Sale (INR)" numFmtId="0">
      <sharedItems containsSemiMixedTypes="0" containsString="0" containsNumber="1" containsInteger="1" minValue="2043" maxValue="1784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x v="0"/>
    <x v="0"/>
    <x v="0"/>
    <x v="0"/>
    <x v="0"/>
    <n v="2"/>
    <n v="125"/>
    <n v="3200"/>
    <x v="0"/>
  </r>
  <r>
    <x v="1"/>
    <x v="1"/>
    <x v="1"/>
    <x v="1"/>
    <x v="0"/>
    <n v="3"/>
    <n v="125"/>
    <n v="375"/>
    <x v="1"/>
  </r>
  <r>
    <x v="2"/>
    <x v="2"/>
    <x v="2"/>
    <x v="2"/>
    <x v="0"/>
    <n v="5"/>
    <n v="125"/>
    <n v="625"/>
    <x v="2"/>
  </r>
  <r>
    <x v="3"/>
    <x v="3"/>
    <x v="3"/>
    <x v="3"/>
    <x v="1"/>
    <n v="16"/>
    <n v="58.5"/>
    <n v="936"/>
    <x v="3"/>
  </r>
  <r>
    <x v="4"/>
    <x v="3"/>
    <x v="3"/>
    <x v="3"/>
    <x v="2"/>
    <n v="4"/>
    <n v="500"/>
    <n v="2000"/>
    <x v="1"/>
  </r>
  <r>
    <x v="5"/>
    <x v="0"/>
    <x v="2"/>
    <x v="2"/>
    <x v="1"/>
    <n v="42"/>
    <n v="58.5"/>
    <n v="2457"/>
    <x v="0"/>
  </r>
  <r>
    <x v="6"/>
    <x v="0"/>
    <x v="2"/>
    <x v="4"/>
    <x v="1"/>
    <n v="50"/>
    <n v="58.5"/>
    <n v="2925"/>
    <x v="0"/>
  </r>
  <r>
    <x v="7"/>
    <x v="2"/>
    <x v="2"/>
    <x v="5"/>
    <x v="1"/>
    <n v="55"/>
    <n v="58.5"/>
    <n v="3217.5"/>
    <x v="2"/>
  </r>
  <r>
    <x v="8"/>
    <x v="3"/>
    <x v="0"/>
    <x v="6"/>
    <x v="3"/>
    <n v="15"/>
    <n v="225"/>
    <n v="3375"/>
    <x v="2"/>
  </r>
  <r>
    <x v="9"/>
    <x v="1"/>
    <x v="1"/>
    <x v="1"/>
    <x v="2"/>
    <n v="7"/>
    <n v="500"/>
    <n v="3500"/>
    <x v="2"/>
  </r>
  <r>
    <x v="10"/>
    <x v="3"/>
    <x v="3"/>
    <x v="3"/>
    <x v="1"/>
    <n v="62"/>
    <n v="58.5"/>
    <n v="3627"/>
    <x v="1"/>
  </r>
  <r>
    <x v="11"/>
    <x v="3"/>
    <x v="0"/>
    <x v="6"/>
    <x v="1"/>
    <n v="74"/>
    <n v="58.5"/>
    <n v="4329"/>
    <x v="2"/>
  </r>
  <r>
    <x v="12"/>
    <x v="2"/>
    <x v="2"/>
    <x v="4"/>
    <x v="2"/>
    <n v="11"/>
    <n v="500"/>
    <n v="5500"/>
    <x v="2"/>
  </r>
  <r>
    <x v="13"/>
    <x v="0"/>
    <x v="2"/>
    <x v="2"/>
    <x v="1"/>
    <n v="96"/>
    <n v="58.5"/>
    <n v="5616"/>
    <x v="0"/>
  </r>
  <r>
    <x v="14"/>
    <x v="0"/>
    <x v="1"/>
    <x v="7"/>
    <x v="3"/>
    <n v="27"/>
    <n v="225"/>
    <n v="6075"/>
    <x v="0"/>
  </r>
  <r>
    <x v="15"/>
    <x v="2"/>
    <x v="1"/>
    <x v="7"/>
    <x v="4"/>
    <n v="7"/>
    <n v="1198"/>
    <n v="8386"/>
    <x v="2"/>
  </r>
  <r>
    <x v="16"/>
    <x v="0"/>
    <x v="2"/>
    <x v="5"/>
    <x v="2"/>
    <n v="28"/>
    <n v="500"/>
    <n v="14000"/>
    <x v="1"/>
  </r>
  <r>
    <x v="17"/>
    <x v="2"/>
    <x v="3"/>
    <x v="8"/>
    <x v="2"/>
    <n v="28"/>
    <n v="500"/>
    <n v="14000"/>
    <x v="2"/>
  </r>
  <r>
    <x v="18"/>
    <x v="3"/>
    <x v="3"/>
    <x v="3"/>
    <x v="3"/>
    <n v="64"/>
    <n v="225"/>
    <n v="14400"/>
    <x v="0"/>
  </r>
  <r>
    <x v="19"/>
    <x v="3"/>
    <x v="3"/>
    <x v="9"/>
    <x v="2"/>
    <n v="29"/>
    <n v="500"/>
    <n v="14500"/>
    <x v="2"/>
  </r>
  <r>
    <x v="20"/>
    <x v="2"/>
    <x v="3"/>
    <x v="8"/>
    <x v="4"/>
    <n v="14"/>
    <n v="1198"/>
    <n v="16772"/>
    <x v="2"/>
  </r>
  <r>
    <x v="21"/>
    <x v="1"/>
    <x v="1"/>
    <x v="1"/>
    <x v="3"/>
    <n v="76"/>
    <n v="225"/>
    <n v="17100"/>
    <x v="0"/>
  </r>
  <r>
    <x v="22"/>
    <x v="3"/>
    <x v="3"/>
    <x v="9"/>
    <x v="3"/>
    <n v="96"/>
    <n v="225"/>
    <n v="21600"/>
    <x v="1"/>
  </r>
  <r>
    <x v="23"/>
    <x v="0"/>
    <x v="1"/>
    <x v="7"/>
    <x v="2"/>
    <n v="46"/>
    <n v="500"/>
    <n v="23000"/>
    <x v="0"/>
  </r>
  <r>
    <x v="24"/>
    <x v="0"/>
    <x v="2"/>
    <x v="2"/>
    <x v="2"/>
    <n v="50"/>
    <n v="500"/>
    <n v="25000"/>
    <x v="1"/>
  </r>
  <r>
    <x v="25"/>
    <x v="1"/>
    <x v="0"/>
    <x v="10"/>
    <x v="2"/>
    <n v="57"/>
    <n v="500"/>
    <n v="28500"/>
    <x v="1"/>
  </r>
  <r>
    <x v="26"/>
    <x v="3"/>
    <x v="3"/>
    <x v="3"/>
    <x v="2"/>
    <n v="60"/>
    <n v="500"/>
    <n v="30000"/>
    <x v="1"/>
  </r>
  <r>
    <x v="27"/>
    <x v="3"/>
    <x v="3"/>
    <x v="3"/>
    <x v="2"/>
    <n v="60"/>
    <n v="500"/>
    <n v="30000"/>
    <x v="3"/>
  </r>
  <r>
    <x v="28"/>
    <x v="1"/>
    <x v="0"/>
    <x v="10"/>
    <x v="4"/>
    <n v="32"/>
    <n v="1198"/>
    <n v="38336"/>
    <x v="1"/>
  </r>
  <r>
    <x v="29"/>
    <x v="0"/>
    <x v="1"/>
    <x v="7"/>
    <x v="2"/>
    <n v="80"/>
    <n v="500"/>
    <n v="40000"/>
    <x v="1"/>
  </r>
  <r>
    <x v="30"/>
    <x v="3"/>
    <x v="0"/>
    <x v="6"/>
    <x v="2"/>
    <n v="81"/>
    <n v="500"/>
    <n v="40500"/>
    <x v="0"/>
  </r>
  <r>
    <x v="31"/>
    <x v="3"/>
    <x v="3"/>
    <x v="3"/>
    <x v="4"/>
    <n v="35"/>
    <n v="1198"/>
    <n v="41930"/>
    <x v="2"/>
  </r>
  <r>
    <x v="32"/>
    <x v="2"/>
    <x v="2"/>
    <x v="4"/>
    <x v="4"/>
    <n v="36"/>
    <n v="1198"/>
    <n v="43128"/>
    <x v="2"/>
  </r>
  <r>
    <x v="33"/>
    <x v="0"/>
    <x v="0"/>
    <x v="0"/>
    <x v="2"/>
    <n v="87"/>
    <n v="500"/>
    <n v="43500"/>
    <x v="3"/>
  </r>
  <r>
    <x v="34"/>
    <x v="0"/>
    <x v="2"/>
    <x v="4"/>
    <x v="2"/>
    <n v="94"/>
    <n v="500"/>
    <n v="47000"/>
    <x v="1"/>
  </r>
  <r>
    <x v="35"/>
    <x v="0"/>
    <x v="1"/>
    <x v="7"/>
    <x v="4"/>
    <n v="53"/>
    <n v="1198"/>
    <n v="63494"/>
    <x v="3"/>
  </r>
  <r>
    <x v="36"/>
    <x v="1"/>
    <x v="1"/>
    <x v="1"/>
    <x v="4"/>
    <n v="56"/>
    <n v="1198"/>
    <n v="67088"/>
    <x v="3"/>
  </r>
  <r>
    <x v="37"/>
    <x v="2"/>
    <x v="3"/>
    <x v="8"/>
    <x v="4"/>
    <n v="66"/>
    <n v="1198"/>
    <n v="79068"/>
    <x v="2"/>
  </r>
  <r>
    <x v="38"/>
    <x v="2"/>
    <x v="0"/>
    <x v="0"/>
    <x v="4"/>
    <n v="67"/>
    <n v="1198"/>
    <n v="80266"/>
    <x v="2"/>
  </r>
  <r>
    <x v="39"/>
    <x v="2"/>
    <x v="3"/>
    <x v="8"/>
    <x v="4"/>
    <n v="75"/>
    <n v="1198"/>
    <n v="89850"/>
    <x v="2"/>
  </r>
  <r>
    <x v="40"/>
    <x v="0"/>
    <x v="2"/>
    <x v="5"/>
    <x v="4"/>
    <n v="90"/>
    <n v="1198"/>
    <n v="107820"/>
    <x v="1"/>
  </r>
  <r>
    <x v="41"/>
    <x v="0"/>
    <x v="2"/>
    <x v="4"/>
    <x v="4"/>
    <n v="90"/>
    <n v="1198"/>
    <n v="107820"/>
    <x v="3"/>
  </r>
  <r>
    <x v="42"/>
    <x v="3"/>
    <x v="3"/>
    <x v="3"/>
    <x v="4"/>
    <n v="95"/>
    <n v="1198"/>
    <n v="113810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1">
  <r>
    <x v="0"/>
    <s v="Smartwatch"/>
    <n v="9"/>
    <n v="8941"/>
    <s v="2024-04-12"/>
    <s v="Vivaan Sastry"/>
    <x v="0"/>
    <x v="0"/>
    <s v="India"/>
    <s v="Store"/>
    <s v="Credit Card"/>
    <n v="80469"/>
  </r>
  <r>
    <x v="1"/>
    <s v="Desktop PC"/>
    <n v="9"/>
    <n v="19827"/>
    <s v="2024-02-06"/>
    <s v="Ishaan Madan"/>
    <x v="1"/>
    <x v="1"/>
    <s v="India"/>
    <s v="Store"/>
    <s v="Credit Card"/>
    <n v="178443"/>
  </r>
  <r>
    <x v="2"/>
    <s v="Desktop PC"/>
    <n v="4"/>
    <n v="16640"/>
    <s v="2023-12-16"/>
    <s v="Azad Sandhu"/>
    <x v="2"/>
    <x v="2"/>
    <s v="India"/>
    <s v="Online"/>
    <s v="Credit Card"/>
    <n v="66560"/>
  </r>
  <r>
    <x v="3"/>
    <s v="E-Reader"/>
    <n v="3"/>
    <n v="2945"/>
    <s v="2024-09-11"/>
    <s v="Shray Chawla"/>
    <x v="3"/>
    <x v="3"/>
    <s v="India"/>
    <s v="Online"/>
    <s v="Credit Card"/>
    <n v="8835"/>
  </r>
  <r>
    <x v="4"/>
    <s v="Laptop"/>
    <n v="4"/>
    <n v="2848"/>
    <s v="2023-10-24"/>
    <s v="Zara Kata"/>
    <x v="4"/>
    <x v="4"/>
    <s v="India"/>
    <s v="Direct"/>
    <s v="Net Banking"/>
    <n v="11392"/>
  </r>
  <r>
    <x v="5"/>
    <s v="Laptop"/>
    <n v="7"/>
    <n v="18703"/>
    <s v="2023-12-24"/>
    <s v="Vritika Kata"/>
    <x v="5"/>
    <x v="5"/>
    <s v="India"/>
    <s v="Store"/>
    <s v="Net Banking"/>
    <n v="130921"/>
  </r>
  <r>
    <x v="6"/>
    <s v="Tablet"/>
    <n v="4"/>
    <n v="9640"/>
    <s v="2023-11-27"/>
    <s v="Hrishita Dada"/>
    <x v="6"/>
    <x v="6"/>
    <s v="India"/>
    <s v="Store"/>
    <s v="Credit Card"/>
    <n v="38560"/>
  </r>
  <r>
    <x v="7"/>
    <s v="External Hard Drive"/>
    <n v="7"/>
    <n v="15189"/>
    <s v="2024-07-13"/>
    <s v="Anaya Sachar"/>
    <x v="7"/>
    <x v="7"/>
    <s v="India"/>
    <s v="Online"/>
    <s v="Debit Card"/>
    <n v="106323"/>
  </r>
  <r>
    <x v="8"/>
    <s v="Tablet"/>
    <n v="6"/>
    <n v="4093"/>
    <s v="2024-01-30"/>
    <s v="Indrans Jani"/>
    <x v="8"/>
    <x v="5"/>
    <s v="India"/>
    <s v="Online"/>
    <s v="UPI"/>
    <n v="24558"/>
  </r>
  <r>
    <x v="9"/>
    <s v="Smartphone"/>
    <n v="8"/>
    <n v="7088"/>
    <s v="2023-11-15"/>
    <s v="Shaan Dhar"/>
    <x v="9"/>
    <x v="8"/>
    <s v="India"/>
    <s v="Online"/>
    <s v="UPI"/>
    <n v="56704"/>
  </r>
  <r>
    <x v="10"/>
    <s v="Smartwatch"/>
    <n v="1"/>
    <n v="11790"/>
    <s v="2024-07-03"/>
    <s v="Lavanya Lal"/>
    <x v="10"/>
    <x v="9"/>
    <s v="India"/>
    <s v="Online"/>
    <s v="UPI"/>
    <n v="11790"/>
  </r>
  <r>
    <x v="11"/>
    <s v="Headphones"/>
    <n v="9"/>
    <n v="19740"/>
    <s v="2024-09-11"/>
    <s v="Prisha Bakshi"/>
    <x v="11"/>
    <x v="8"/>
    <s v="India"/>
    <s v="Direct"/>
    <s v="Credit Card"/>
    <n v="177660"/>
  </r>
  <r>
    <x v="12"/>
    <s v="Printer"/>
    <n v="5"/>
    <n v="19143"/>
    <s v="2024-09-17"/>
    <s v="Abram Shetty"/>
    <x v="12"/>
    <x v="10"/>
    <s v="India"/>
    <s v="Store"/>
    <s v="UPI"/>
    <n v="95715"/>
  </r>
  <r>
    <x v="13"/>
    <s v="Desktop PC"/>
    <n v="7"/>
    <n v="5387"/>
    <s v="2023-10-24"/>
    <s v="Anaya Sunder"/>
    <x v="13"/>
    <x v="11"/>
    <s v="India"/>
    <s v="Online"/>
    <s v="Debit Card"/>
    <n v="37709"/>
  </r>
  <r>
    <x v="14"/>
    <s v="Desktop PC"/>
    <n v="6"/>
    <n v="19724"/>
    <s v="2023-12-21"/>
    <s v="Farhan Mand"/>
    <x v="14"/>
    <x v="3"/>
    <s v="India"/>
    <s v="Direct"/>
    <s v="Debit Card"/>
    <n v="118344"/>
  </r>
  <r>
    <x v="15"/>
    <s v="Camera"/>
    <n v="9"/>
    <n v="7785"/>
    <s v="2024-02-15"/>
    <s v="Nakul Hora"/>
    <x v="15"/>
    <x v="12"/>
    <s v="India"/>
    <s v="Direct"/>
    <s v="Debit Card"/>
    <n v="70065"/>
  </r>
  <r>
    <x v="16"/>
    <s v="Smartwatch"/>
    <n v="3"/>
    <n v="7262"/>
    <s v="2023-12-03"/>
    <s v="Rhea Hegde"/>
    <x v="16"/>
    <x v="1"/>
    <s v="India"/>
    <s v="Online"/>
    <s v="Cash"/>
    <n v="21786"/>
  </r>
  <r>
    <x v="17"/>
    <s v="Printer"/>
    <n v="4"/>
    <n v="2877"/>
    <s v="2024-04-21"/>
    <s v="Shanaya Desai"/>
    <x v="17"/>
    <x v="13"/>
    <s v="India"/>
    <s v="Online"/>
    <s v="Cash"/>
    <n v="11508"/>
  </r>
  <r>
    <x v="18"/>
    <s v="Printer"/>
    <n v="8"/>
    <n v="9997"/>
    <s v="2023-11-30"/>
    <s v="Miraan Rastogi"/>
    <x v="18"/>
    <x v="14"/>
    <s v="India"/>
    <s v="Direct"/>
    <s v="Debit Card"/>
    <n v="79976"/>
  </r>
  <r>
    <x v="19"/>
    <s v="Printer"/>
    <n v="6"/>
    <n v="2081"/>
    <s v="2024-08-02"/>
    <s v="Dharmajan Wable"/>
    <x v="19"/>
    <x v="8"/>
    <s v="India"/>
    <s v="Store"/>
    <s v="Cash"/>
    <n v="12486"/>
  </r>
  <r>
    <x v="20"/>
    <s v="Laptop"/>
    <n v="4"/>
    <n v="4246"/>
    <s v="2024-07-25"/>
    <s v="Myra Chanda"/>
    <x v="20"/>
    <x v="12"/>
    <s v="India"/>
    <s v="Online"/>
    <s v="Cash"/>
    <n v="16984"/>
  </r>
  <r>
    <x v="21"/>
    <s v="Laptop"/>
    <n v="5"/>
    <n v="14316"/>
    <s v="2024-05-25"/>
    <s v="Lavanya Koshy"/>
    <x v="21"/>
    <x v="0"/>
    <s v="India"/>
    <s v="Direct"/>
    <s v="UPI"/>
    <n v="71580"/>
  </r>
  <r>
    <x v="22"/>
    <s v="E-Reader"/>
    <n v="6"/>
    <n v="18074"/>
    <s v="2024-02-07"/>
    <s v="Gokul Devi"/>
    <x v="22"/>
    <x v="15"/>
    <s v="India"/>
    <s v="Online"/>
    <s v="Credit Card"/>
    <n v="108444"/>
  </r>
  <r>
    <x v="23"/>
    <s v="Camera"/>
    <n v="4"/>
    <n v="14772"/>
    <s v="2023-11-04"/>
    <s v="Miraya Sahota"/>
    <x v="23"/>
    <x v="16"/>
    <s v="India"/>
    <s v="Direct"/>
    <s v="Net Banking"/>
    <n v="59088"/>
  </r>
  <r>
    <x v="24"/>
    <s v="Headphones"/>
    <n v="4"/>
    <n v="14215"/>
    <s v="2024-01-22"/>
    <s v="Hansh Rau"/>
    <x v="24"/>
    <x v="16"/>
    <s v="India"/>
    <s v="Direct"/>
    <s v="Debit Card"/>
    <n v="56860"/>
  </r>
  <r>
    <x v="25"/>
    <s v="External Hard Drive"/>
    <n v="8"/>
    <n v="6274"/>
    <s v="2024-01-27"/>
    <s v="Heer Gole"/>
    <x v="25"/>
    <x v="7"/>
    <s v="India"/>
    <s v="Direct"/>
    <s v="Cash"/>
    <n v="50192"/>
  </r>
  <r>
    <x v="26"/>
    <s v="External Hard Drive"/>
    <n v="8"/>
    <n v="5670"/>
    <s v="2024-07-01"/>
    <s v="Divyansh Ahluwalia"/>
    <x v="26"/>
    <x v="17"/>
    <s v="India"/>
    <s v="Store"/>
    <s v="Cash"/>
    <n v="45360"/>
  </r>
  <r>
    <x v="27"/>
    <s v="Desktop PC"/>
    <n v="4"/>
    <n v="8325"/>
    <s v="2023-11-06"/>
    <s v="Damini Bhat"/>
    <x v="27"/>
    <x v="18"/>
    <s v="India"/>
    <s v="Online"/>
    <s v="Cash"/>
    <n v="33300"/>
  </r>
  <r>
    <x v="28"/>
    <s v="Desktop PC"/>
    <n v="3"/>
    <n v="13195"/>
    <s v="2024-07-02"/>
    <s v="Renee Subramanian"/>
    <x v="26"/>
    <x v="12"/>
    <s v="India"/>
    <s v="Store"/>
    <s v="Credit Card"/>
    <n v="39585"/>
  </r>
  <r>
    <x v="29"/>
    <s v="E-Reader"/>
    <n v="4"/>
    <n v="7947"/>
    <s v="2023-09-27"/>
    <s v="Keya Chacko"/>
    <x v="28"/>
    <x v="17"/>
    <s v="India"/>
    <s v="Direct"/>
    <s v="Net Banking"/>
    <n v="31788"/>
  </r>
  <r>
    <x v="30"/>
    <s v="E-Reader"/>
    <n v="8"/>
    <n v="11358"/>
    <s v="2023-12-15"/>
    <s v="Hiran Kata"/>
    <x v="29"/>
    <x v="19"/>
    <s v="India"/>
    <s v="Store"/>
    <s v="UPI"/>
    <n v="90864"/>
  </r>
  <r>
    <x v="31"/>
    <s v="Camera"/>
    <n v="8"/>
    <n v="15744"/>
    <s v="2024-01-29"/>
    <s v="Shalv Sodhi"/>
    <x v="30"/>
    <x v="0"/>
    <s v="India"/>
    <s v="Online"/>
    <s v="Debit Card"/>
    <n v="125952"/>
  </r>
  <r>
    <x v="32"/>
    <s v="Camera"/>
    <n v="6"/>
    <n v="3080"/>
    <s v="2023-12-27"/>
    <s v="Shlok Chopra"/>
    <x v="6"/>
    <x v="2"/>
    <s v="India"/>
    <s v="Online"/>
    <s v="Cash"/>
    <n v="18480"/>
  </r>
  <r>
    <x v="33"/>
    <s v="Smartwatch"/>
    <n v="2"/>
    <n v="3896"/>
    <s v="2024-09-02"/>
    <s v="Heer Borra"/>
    <x v="31"/>
    <x v="8"/>
    <s v="India"/>
    <s v="Online"/>
    <s v="Net Banking"/>
    <n v="7792"/>
  </r>
  <r>
    <x v="34"/>
    <s v="Laptop"/>
    <n v="3"/>
    <n v="12383"/>
    <s v="2024-06-14"/>
    <s v="Armaan Chand"/>
    <x v="32"/>
    <x v="15"/>
    <s v="India"/>
    <s v="Store"/>
    <s v="Credit Card"/>
    <n v="37149"/>
  </r>
  <r>
    <x v="35"/>
    <s v="External Hard Drive"/>
    <n v="3"/>
    <n v="10823"/>
    <s v="2024-09-11"/>
    <s v="Saira Zachariah"/>
    <x v="33"/>
    <x v="17"/>
    <s v="India"/>
    <s v="Online"/>
    <s v="UPI"/>
    <n v="32469"/>
  </r>
  <r>
    <x v="36"/>
    <s v="External Hard Drive"/>
    <n v="9"/>
    <n v="5049"/>
    <s v="2024-08-01"/>
    <s v="Damini Samra"/>
    <x v="34"/>
    <x v="20"/>
    <s v="India"/>
    <s v="Store"/>
    <s v="UPI"/>
    <n v="45441"/>
  </r>
  <r>
    <x v="37"/>
    <s v="Tablet"/>
    <n v="2"/>
    <n v="12548"/>
    <s v="2023-12-13"/>
    <s v="Eshani Tara"/>
    <x v="35"/>
    <x v="14"/>
    <s v="India"/>
    <s v="Online"/>
    <s v="Credit Card"/>
    <n v="25096"/>
  </r>
  <r>
    <x v="38"/>
    <s v="Printer"/>
    <n v="6"/>
    <n v="8432"/>
    <s v="2023-12-25"/>
    <s v="Hiran Dyal"/>
    <x v="36"/>
    <x v="0"/>
    <s v="India"/>
    <s v="Direct"/>
    <s v="Credit Card"/>
    <n v="50592"/>
  </r>
  <r>
    <x v="39"/>
    <s v="E-Reader"/>
    <n v="9"/>
    <n v="13351"/>
    <s v="2024-08-08"/>
    <s v="Advika Seshadri"/>
    <x v="37"/>
    <x v="17"/>
    <s v="India"/>
    <s v="Direct"/>
    <s v="Debit Card"/>
    <n v="120159"/>
  </r>
  <r>
    <x v="40"/>
    <s v="Camera"/>
    <n v="5"/>
    <n v="16286"/>
    <s v="2024-08-12"/>
    <s v="Veer Soman"/>
    <x v="38"/>
    <x v="20"/>
    <s v="India"/>
    <s v="Direct"/>
    <s v="Net Banking"/>
    <n v="81430"/>
  </r>
  <r>
    <x v="41"/>
    <s v="Laptop"/>
    <n v="1"/>
    <n v="4978"/>
    <s v="2024-03-31"/>
    <s v="Amira Badal"/>
    <x v="39"/>
    <x v="21"/>
    <s v="India"/>
    <s v="Direct"/>
    <s v="Cash"/>
    <n v="4978"/>
  </r>
  <r>
    <x v="42"/>
    <s v="Tablet"/>
    <n v="3"/>
    <n v="10629"/>
    <s v="2024-09-22"/>
    <s v="Ryan Sidhu"/>
    <x v="40"/>
    <x v="16"/>
    <s v="India"/>
    <s v="Store"/>
    <s v="Cash"/>
    <n v="31887"/>
  </r>
  <r>
    <x v="43"/>
    <s v="Camera"/>
    <n v="6"/>
    <n v="7312"/>
    <s v="2024-09-10"/>
    <s v="Nayantara Issac"/>
    <x v="41"/>
    <x v="1"/>
    <s v="India"/>
    <s v="Store"/>
    <s v="Net Banking"/>
    <n v="43872"/>
  </r>
  <r>
    <x v="44"/>
    <s v="Smartwatch"/>
    <n v="6"/>
    <n v="5963"/>
    <s v="2024-04-18"/>
    <s v="Neelofar Kohli"/>
    <x v="1"/>
    <x v="22"/>
    <s v="India"/>
    <s v="Online"/>
    <s v="Debit Card"/>
    <n v="35778"/>
  </r>
  <r>
    <x v="45"/>
    <s v="Desktop PC"/>
    <n v="1"/>
    <n v="4437"/>
    <s v="2023-10-16"/>
    <s v="Zaina Sani"/>
    <x v="42"/>
    <x v="16"/>
    <s v="India"/>
    <s v="Direct"/>
    <s v="UPI"/>
    <n v="4437"/>
  </r>
  <r>
    <x v="46"/>
    <s v="Smartwatch"/>
    <n v="9"/>
    <n v="9000"/>
    <s v="2024-08-14"/>
    <s v="Dhanuk Dasgupta"/>
    <x v="43"/>
    <x v="9"/>
    <s v="India"/>
    <s v="Store"/>
    <s v="UPI"/>
    <n v="81000"/>
  </r>
  <r>
    <x v="47"/>
    <s v="Smartwatch"/>
    <n v="2"/>
    <n v="4321"/>
    <s v="2024-02-06"/>
    <s v="Nakul Lalla"/>
    <x v="44"/>
    <x v="19"/>
    <s v="India"/>
    <s v="Direct"/>
    <s v="Credit Card"/>
    <n v="8642"/>
  </r>
  <r>
    <x v="48"/>
    <s v="Printer"/>
    <n v="2"/>
    <n v="12180"/>
    <s v="2024-05-13"/>
    <s v="Indrajit Chandra"/>
    <x v="45"/>
    <x v="13"/>
    <s v="India"/>
    <s v="Store"/>
    <s v="Credit Card"/>
    <n v="24360"/>
  </r>
  <r>
    <x v="49"/>
    <s v="Laptop"/>
    <n v="1"/>
    <n v="4360"/>
    <s v="2024-05-13"/>
    <s v="Pihu Garg"/>
    <x v="46"/>
    <x v="2"/>
    <s v="India"/>
    <s v="Store"/>
    <s v="Debit Card"/>
    <n v="4360"/>
  </r>
  <r>
    <x v="50"/>
    <s v="Printer"/>
    <n v="4"/>
    <n v="12400"/>
    <s v="2024-06-02"/>
    <s v="Shayak Dixit"/>
    <x v="47"/>
    <x v="10"/>
    <s v="India"/>
    <s v="Direct"/>
    <s v="Cash"/>
    <n v="49600"/>
  </r>
  <r>
    <x v="51"/>
    <s v="Smartphone"/>
    <n v="9"/>
    <n v="15553"/>
    <s v="2024-04-30"/>
    <s v="Mishti Sahota"/>
    <x v="48"/>
    <x v="3"/>
    <s v="India"/>
    <s v="Online"/>
    <s v="Credit Card"/>
    <n v="139977"/>
  </r>
  <r>
    <x v="52"/>
    <s v="Tablet"/>
    <n v="9"/>
    <n v="2337"/>
    <s v="2023-10-04"/>
    <s v="Alia Rama"/>
    <x v="49"/>
    <x v="23"/>
    <s v="India"/>
    <s v="Direct"/>
    <s v="Credit Card"/>
    <n v="21033"/>
  </r>
  <r>
    <x v="53"/>
    <s v="Desktop PC"/>
    <n v="5"/>
    <n v="18457"/>
    <s v="2024-03-07"/>
    <s v="Adira Suresh"/>
    <x v="50"/>
    <x v="14"/>
    <s v="India"/>
    <s v="Direct"/>
    <s v="UPI"/>
    <n v="92285"/>
  </r>
  <r>
    <x v="54"/>
    <s v="Laptop"/>
    <n v="5"/>
    <n v="19124"/>
    <s v="2024-08-23"/>
    <s v="Aradhya Sarin"/>
    <x v="51"/>
    <x v="15"/>
    <s v="India"/>
    <s v="Direct"/>
    <s v="Credit Card"/>
    <n v="95620"/>
  </r>
  <r>
    <x v="55"/>
    <s v="External Hard Drive"/>
    <n v="1"/>
    <n v="5248"/>
    <s v="2023-09-27"/>
    <s v="Tejas Kohli"/>
    <x v="52"/>
    <x v="24"/>
    <s v="India"/>
    <s v="Direct"/>
    <s v="Cash"/>
    <n v="5248"/>
  </r>
  <r>
    <x v="56"/>
    <s v="Camera"/>
    <n v="4"/>
    <n v="2739"/>
    <s v="2024-03-22"/>
    <s v="Alisha Zachariah"/>
    <x v="53"/>
    <x v="13"/>
    <s v="India"/>
    <s v="Store"/>
    <s v="Credit Card"/>
    <n v="10956"/>
  </r>
  <r>
    <x v="57"/>
    <s v="E-Reader"/>
    <n v="8"/>
    <n v="15728"/>
    <s v="2024-06-07"/>
    <s v="Divyansh Sami"/>
    <x v="54"/>
    <x v="12"/>
    <s v="India"/>
    <s v="Online"/>
    <s v="Debit Card"/>
    <n v="125824"/>
  </r>
  <r>
    <x v="58"/>
    <s v="Smartphone"/>
    <n v="4"/>
    <n v="7390"/>
    <s v="2024-02-01"/>
    <s v="Aarav Yohannan"/>
    <x v="55"/>
    <x v="13"/>
    <s v="India"/>
    <s v="Online"/>
    <s v="UPI"/>
    <n v="29560"/>
  </r>
  <r>
    <x v="59"/>
    <s v="Desktop PC"/>
    <n v="3"/>
    <n v="10604"/>
    <s v="2024-02-02"/>
    <s v="Lakshay Ramachandran"/>
    <x v="16"/>
    <x v="25"/>
    <s v="India"/>
    <s v="Online"/>
    <s v="Net Banking"/>
    <n v="31812"/>
  </r>
  <r>
    <x v="60"/>
    <s v="Tablet"/>
    <n v="2"/>
    <n v="6267"/>
    <s v="2024-08-03"/>
    <s v="Trisha Sami"/>
    <x v="56"/>
    <x v="20"/>
    <s v="India"/>
    <s v="Direct"/>
    <s v="Credit Card"/>
    <n v="12534"/>
  </r>
  <r>
    <x v="61"/>
    <s v="External Hard Drive"/>
    <n v="2"/>
    <n v="15409"/>
    <s v="2023-10-03"/>
    <s v="Mishti Rout"/>
    <x v="2"/>
    <x v="9"/>
    <s v="India"/>
    <s v="Store"/>
    <s v="UPI"/>
    <n v="30818"/>
  </r>
  <r>
    <x v="62"/>
    <s v="Desktop PC"/>
    <n v="3"/>
    <n v="18562"/>
    <s v="2024-07-04"/>
    <s v="Madhup Bhatti"/>
    <x v="57"/>
    <x v="8"/>
    <s v="India"/>
    <s v="Direct"/>
    <s v="Cash"/>
    <n v="55686"/>
  </r>
  <r>
    <x v="63"/>
    <s v="Smartwatch"/>
    <n v="2"/>
    <n v="12242"/>
    <s v="2023-10-02"/>
    <s v="Myra Gala"/>
    <x v="58"/>
    <x v="11"/>
    <s v="India"/>
    <s v="Online"/>
    <s v="Credit Card"/>
    <n v="24484"/>
  </r>
  <r>
    <x v="64"/>
    <s v="Smartwatch"/>
    <n v="5"/>
    <n v="10977"/>
    <s v="2024-08-22"/>
    <s v="Prisha Gade"/>
    <x v="59"/>
    <x v="23"/>
    <s v="India"/>
    <s v="Store"/>
    <s v="Debit Card"/>
    <n v="54885"/>
  </r>
  <r>
    <x v="65"/>
    <s v="E-Reader"/>
    <n v="3"/>
    <n v="19091"/>
    <s v="2024-09-20"/>
    <s v="Kavya Chaudry"/>
    <x v="60"/>
    <x v="23"/>
    <s v="India"/>
    <s v="Online"/>
    <s v="Net Banking"/>
    <n v="57273"/>
  </r>
  <r>
    <x v="66"/>
    <s v="Tablet"/>
    <n v="6"/>
    <n v="11557"/>
    <s v="2024-04-22"/>
    <s v="Anika Virk"/>
    <x v="61"/>
    <x v="21"/>
    <s v="India"/>
    <s v="Online"/>
    <s v="Cash"/>
    <n v="69342"/>
  </r>
  <r>
    <x v="67"/>
    <s v="External Hard Drive"/>
    <n v="6"/>
    <n v="16181"/>
    <s v="2024-06-01"/>
    <s v="Tara Shukla"/>
    <x v="62"/>
    <x v="16"/>
    <s v="India"/>
    <s v="Store"/>
    <s v="Debit Card"/>
    <n v="97086"/>
  </r>
  <r>
    <x v="68"/>
    <s v="Smartwatch"/>
    <n v="6"/>
    <n v="17480"/>
    <s v="2024-03-12"/>
    <s v="Arhaan Bhandari"/>
    <x v="63"/>
    <x v="26"/>
    <s v="India"/>
    <s v="Store"/>
    <s v="Net Banking"/>
    <n v="104880"/>
  </r>
  <r>
    <x v="69"/>
    <s v="Smartphone"/>
    <n v="3"/>
    <n v="16998"/>
    <s v="2023-12-30"/>
    <s v="Inaaya  Varughese"/>
    <x v="51"/>
    <x v="16"/>
    <s v="India"/>
    <s v="Store"/>
    <s v="Cash"/>
    <n v="50994"/>
  </r>
  <r>
    <x v="70"/>
    <s v="Headphones"/>
    <n v="6"/>
    <n v="7330"/>
    <s v="2024-06-25"/>
    <s v="Divit Srivastava"/>
    <x v="64"/>
    <x v="27"/>
    <s v="India"/>
    <s v="Store"/>
    <s v="Cash"/>
    <n v="43980"/>
  </r>
  <r>
    <x v="71"/>
    <s v="Headphones"/>
    <n v="8"/>
    <n v="11015"/>
    <s v="2024-09-03"/>
    <s v="Shayak Handa"/>
    <x v="65"/>
    <x v="18"/>
    <s v="India"/>
    <s v="Online"/>
    <s v="Net Banking"/>
    <n v="88120"/>
  </r>
  <r>
    <x v="72"/>
    <s v="Printer"/>
    <n v="8"/>
    <n v="12417"/>
    <s v="2024-05-27"/>
    <s v="Nirvi Gopal"/>
    <x v="66"/>
    <x v="8"/>
    <s v="India"/>
    <s v="Store"/>
    <s v="UPI"/>
    <n v="99336"/>
  </r>
  <r>
    <x v="73"/>
    <s v="E-Reader"/>
    <n v="7"/>
    <n v="17469"/>
    <s v="2024-04-02"/>
    <s v="Arnav Bhavsar"/>
    <x v="67"/>
    <x v="11"/>
    <s v="India"/>
    <s v="Direct"/>
    <s v="Cash"/>
    <n v="122283"/>
  </r>
  <r>
    <x v="74"/>
    <s v="E-Reader"/>
    <n v="2"/>
    <n v="12483"/>
    <s v="2024-07-07"/>
    <s v="Jhanvi Rattan"/>
    <x v="68"/>
    <x v="5"/>
    <s v="India"/>
    <s v="Store"/>
    <s v="Credit Card"/>
    <n v="24966"/>
  </r>
  <r>
    <x v="75"/>
    <s v="E-Reader"/>
    <n v="7"/>
    <n v="16926"/>
    <s v="2024-01-07"/>
    <s v="Anika Badami"/>
    <x v="69"/>
    <x v="5"/>
    <s v="India"/>
    <s v="Online"/>
    <s v="UPI"/>
    <n v="118482"/>
  </r>
  <r>
    <x v="76"/>
    <s v="Desktop PC"/>
    <n v="8"/>
    <n v="6754"/>
    <s v="2024-07-06"/>
    <s v="Priyansh Balakrishnan"/>
    <x v="70"/>
    <x v="16"/>
    <s v="India"/>
    <s v="Store"/>
    <s v="Credit Card"/>
    <n v="54032"/>
  </r>
  <r>
    <x v="77"/>
    <s v="Smartwatch"/>
    <n v="3"/>
    <n v="13385"/>
    <s v="2023-11-04"/>
    <s v="Kashvi Batra"/>
    <x v="71"/>
    <x v="5"/>
    <s v="India"/>
    <s v="Direct"/>
    <s v="Cash"/>
    <n v="40155"/>
  </r>
  <r>
    <x v="78"/>
    <s v="Desktop PC"/>
    <n v="4"/>
    <n v="12587"/>
    <s v="2024-05-26"/>
    <s v="Fateh Bhattacharyya"/>
    <x v="72"/>
    <x v="16"/>
    <s v="India"/>
    <s v="Online"/>
    <s v="Net Banking"/>
    <n v="50348"/>
  </r>
  <r>
    <x v="79"/>
    <s v="Desktop PC"/>
    <n v="2"/>
    <n v="7612"/>
    <s v="2024-09-03"/>
    <s v="Divij Seth"/>
    <x v="73"/>
    <x v="17"/>
    <s v="India"/>
    <s v="Store"/>
    <s v="Cash"/>
    <n v="15224"/>
  </r>
  <r>
    <x v="80"/>
    <s v="Printer"/>
    <n v="6"/>
    <n v="10397"/>
    <s v="2024-01-16"/>
    <s v="Suhana Kade"/>
    <x v="74"/>
    <x v="11"/>
    <s v="India"/>
    <s v="Store"/>
    <s v="Debit Card"/>
    <n v="62382"/>
  </r>
  <r>
    <x v="81"/>
    <s v="External Hard Drive"/>
    <n v="3"/>
    <n v="13106"/>
    <s v="2024-01-02"/>
    <s v="Himmat Chacko"/>
    <x v="75"/>
    <x v="9"/>
    <s v="India"/>
    <s v="Store"/>
    <s v="UPI"/>
    <n v="39318"/>
  </r>
  <r>
    <x v="82"/>
    <s v="External Hard Drive"/>
    <n v="1"/>
    <n v="8957"/>
    <s v="2023-12-23"/>
    <s v="Advik Anand"/>
    <x v="76"/>
    <x v="26"/>
    <s v="India"/>
    <s v="Direct"/>
    <s v="UPI"/>
    <n v="8957"/>
  </r>
  <r>
    <x v="83"/>
    <s v="Laptop"/>
    <n v="2"/>
    <n v="5792"/>
    <s v="2024-01-23"/>
    <s v="Piya Tara"/>
    <x v="5"/>
    <x v="18"/>
    <s v="India"/>
    <s v="Direct"/>
    <s v="Net Banking"/>
    <n v="11584"/>
  </r>
  <r>
    <x v="84"/>
    <s v="Printer"/>
    <n v="1"/>
    <n v="12305"/>
    <s v="2024-06-22"/>
    <s v="Nirvi Bhalla"/>
    <x v="77"/>
    <x v="25"/>
    <s v="India"/>
    <s v="Store"/>
    <s v="Cash"/>
    <n v="12305"/>
  </r>
  <r>
    <x v="85"/>
    <s v="Smartphone"/>
    <n v="7"/>
    <n v="16608"/>
    <s v="2023-12-18"/>
    <s v="Alisha Setty"/>
    <x v="78"/>
    <x v="2"/>
    <s v="India"/>
    <s v="Online"/>
    <s v="Credit Card"/>
    <n v="116256"/>
  </r>
  <r>
    <x v="86"/>
    <s v="Headphones"/>
    <n v="1"/>
    <n v="8445"/>
    <s v="2023-10-08"/>
    <s v="Raunak Sahni"/>
    <x v="37"/>
    <x v="18"/>
    <s v="India"/>
    <s v="Online"/>
    <s v="Credit Card"/>
    <n v="8445"/>
  </r>
  <r>
    <x v="87"/>
    <s v="E-Reader"/>
    <n v="5"/>
    <n v="8363"/>
    <s v="2024-09-14"/>
    <s v="Adah Raju"/>
    <x v="25"/>
    <x v="20"/>
    <s v="India"/>
    <s v="Online"/>
    <s v="Credit Card"/>
    <n v="41815"/>
  </r>
  <r>
    <x v="88"/>
    <s v="Desktop PC"/>
    <n v="9"/>
    <n v="2165"/>
    <s v="2024-07-31"/>
    <s v="Lakshay Behl"/>
    <x v="34"/>
    <x v="14"/>
    <s v="India"/>
    <s v="Online"/>
    <s v="Net Banking"/>
    <n v="19485"/>
  </r>
  <r>
    <x v="89"/>
    <s v="Smartwatch"/>
    <n v="5"/>
    <n v="18818"/>
    <s v="2024-05-17"/>
    <s v="Vedika Mahajan"/>
    <x v="79"/>
    <x v="16"/>
    <s v="India"/>
    <s v="Online"/>
    <s v="Cash"/>
    <n v="94090"/>
  </r>
  <r>
    <x v="90"/>
    <s v="Printer"/>
    <n v="4"/>
    <n v="16744"/>
    <s v="2024-07-06"/>
    <s v="Nirvaan Yohannan"/>
    <x v="32"/>
    <x v="20"/>
    <s v="India"/>
    <s v="Direct"/>
    <s v="UPI"/>
    <n v="66976"/>
  </r>
  <r>
    <x v="91"/>
    <s v="Laptop"/>
    <n v="4"/>
    <n v="3968"/>
    <s v="2024-06-08"/>
    <s v="Keya De"/>
    <x v="80"/>
    <x v="19"/>
    <s v="India"/>
    <s v="Direct"/>
    <s v="UPI"/>
    <n v="15872"/>
  </r>
  <r>
    <x v="92"/>
    <s v="External Hard Drive"/>
    <n v="9"/>
    <n v="3228"/>
    <s v="2023-10-29"/>
    <s v="Advik Kulkarni"/>
    <x v="81"/>
    <x v="7"/>
    <s v="India"/>
    <s v="Store"/>
    <s v="UPI"/>
    <n v="29052"/>
  </r>
  <r>
    <x v="93"/>
    <s v="Printer"/>
    <n v="9"/>
    <n v="11220"/>
    <s v="2024-04-03"/>
    <s v="Bhavin Manda"/>
    <x v="82"/>
    <x v="3"/>
    <s v="India"/>
    <s v="Online"/>
    <s v="Credit Card"/>
    <n v="100980"/>
  </r>
  <r>
    <x v="94"/>
    <s v="Printer"/>
    <n v="8"/>
    <n v="3198"/>
    <s v="2024-07-11"/>
    <s v="Suhana Ganesan"/>
    <x v="71"/>
    <x v="6"/>
    <s v="India"/>
    <s v="Direct"/>
    <s v="Net Banking"/>
    <n v="25584"/>
  </r>
  <r>
    <x v="95"/>
    <s v="Printer"/>
    <n v="1"/>
    <n v="13505"/>
    <s v="2024-03-06"/>
    <s v="Piya Bajwa"/>
    <x v="72"/>
    <x v="18"/>
    <s v="India"/>
    <s v="Online"/>
    <s v="UPI"/>
    <n v="13505"/>
  </r>
  <r>
    <x v="96"/>
    <s v="Smartwatch"/>
    <n v="4"/>
    <n v="16730"/>
    <s v="2023-10-10"/>
    <s v="Riaan Dhillon"/>
    <x v="83"/>
    <x v="24"/>
    <s v="India"/>
    <s v="Direct"/>
    <s v="Net Banking"/>
    <n v="66920"/>
  </r>
  <r>
    <x v="97"/>
    <s v="Camera"/>
    <n v="9"/>
    <n v="9579"/>
    <s v="2024-01-10"/>
    <s v="Ayesha Chander"/>
    <x v="47"/>
    <x v="14"/>
    <s v="India"/>
    <s v="Store"/>
    <s v="Net Banking"/>
    <n v="86211"/>
  </r>
  <r>
    <x v="98"/>
    <s v="Smartwatch"/>
    <n v="8"/>
    <n v="5406"/>
    <s v="2023-11-03"/>
    <s v="Mamooty Dyal"/>
    <x v="84"/>
    <x v="10"/>
    <s v="India"/>
    <s v="Online"/>
    <s v="Net Banking"/>
    <n v="43248"/>
  </r>
  <r>
    <x v="99"/>
    <s v="Camera"/>
    <n v="8"/>
    <n v="6966"/>
    <s v="2024-01-17"/>
    <s v="Shaan Balan"/>
    <x v="59"/>
    <x v="7"/>
    <s v="India"/>
    <s v="Store"/>
    <s v="UPI"/>
    <n v="55728"/>
  </r>
  <r>
    <x v="100"/>
    <s v="Camera"/>
    <n v="2"/>
    <n v="7517"/>
    <s v="2024-05-12"/>
    <s v="Lagan Sarna"/>
    <x v="85"/>
    <x v="26"/>
    <s v="India"/>
    <s v="Store"/>
    <s v="Debit Card"/>
    <n v="15034"/>
  </r>
  <r>
    <x v="101"/>
    <s v="Smartphone"/>
    <n v="9"/>
    <n v="9197"/>
    <s v="2024-08-03"/>
    <s v="Jayan Balasubramanian"/>
    <x v="86"/>
    <x v="7"/>
    <s v="India"/>
    <s v="Store"/>
    <s v="Cash"/>
    <n v="82773"/>
  </r>
  <r>
    <x v="102"/>
    <s v="Smartphone"/>
    <n v="5"/>
    <n v="11166"/>
    <s v="2024-01-18"/>
    <s v="Mamooty Thaman"/>
    <x v="43"/>
    <x v="21"/>
    <s v="India"/>
    <s v="Online"/>
    <s v="Debit Card"/>
    <n v="55830"/>
  </r>
  <r>
    <x v="103"/>
    <s v="External Hard Drive"/>
    <n v="8"/>
    <n v="19611"/>
    <s v="2024-09-23"/>
    <s v="Prerak Badal"/>
    <x v="23"/>
    <x v="16"/>
    <s v="India"/>
    <s v="Store"/>
    <s v="Net Banking"/>
    <n v="156888"/>
  </r>
  <r>
    <x v="104"/>
    <s v="E-Reader"/>
    <n v="1"/>
    <n v="14767"/>
    <s v="2024-02-12"/>
    <s v="Yuvaan Bhasin"/>
    <x v="87"/>
    <x v="23"/>
    <s v="India"/>
    <s v="Online"/>
    <s v="Net Banking"/>
    <n v="14767"/>
  </r>
  <r>
    <x v="105"/>
    <s v="Camera"/>
    <n v="5"/>
    <n v="9278"/>
    <s v="2024-09-16"/>
    <s v="Aniruddh Ghosh"/>
    <x v="2"/>
    <x v="22"/>
    <s v="India"/>
    <s v="Store"/>
    <s v="Debit Card"/>
    <n v="46390"/>
  </r>
  <r>
    <x v="106"/>
    <s v="Smartwatch"/>
    <n v="1"/>
    <n v="3492"/>
    <s v="2024-06-17"/>
    <s v="Keya Rau"/>
    <x v="37"/>
    <x v="3"/>
    <s v="India"/>
    <s v="Online"/>
    <s v="Debit Card"/>
    <n v="3492"/>
  </r>
  <r>
    <x v="107"/>
    <s v="Desktop PC"/>
    <n v="7"/>
    <n v="5767"/>
    <s v="2024-07-08"/>
    <s v="Jayesh Virk"/>
    <x v="88"/>
    <x v="20"/>
    <s v="India"/>
    <s v="Store"/>
    <s v="Net Banking"/>
    <n v="40369"/>
  </r>
  <r>
    <x v="108"/>
    <s v="Camera"/>
    <n v="5"/>
    <n v="17101"/>
    <s v="2024-08-01"/>
    <s v="Anahita Gala"/>
    <x v="43"/>
    <x v="21"/>
    <s v="India"/>
    <s v="Direct"/>
    <s v="Credit Card"/>
    <n v="85505"/>
  </r>
  <r>
    <x v="109"/>
    <s v="External Hard Drive"/>
    <n v="3"/>
    <n v="19538"/>
    <s v="2023-12-27"/>
    <s v="Rania Gala"/>
    <x v="69"/>
    <x v="14"/>
    <s v="India"/>
    <s v="Direct"/>
    <s v="UPI"/>
    <n v="58614"/>
  </r>
  <r>
    <x v="110"/>
    <s v="Desktop PC"/>
    <n v="5"/>
    <n v="2184"/>
    <s v="2024-06-08"/>
    <s v="Piya Doctor"/>
    <x v="89"/>
    <x v="20"/>
    <s v="India"/>
    <s v="Online"/>
    <s v="Cash"/>
    <n v="10920"/>
  </r>
  <r>
    <x v="111"/>
    <s v="Smartwatch"/>
    <n v="7"/>
    <n v="9278"/>
    <s v="2024-05-24"/>
    <s v="Krish Lal"/>
    <x v="83"/>
    <x v="15"/>
    <s v="India"/>
    <s v="Direct"/>
    <s v="Cash"/>
    <n v="64946"/>
  </r>
  <r>
    <x v="112"/>
    <s v="Desktop PC"/>
    <n v="4"/>
    <n v="13974"/>
    <s v="2024-06-02"/>
    <s v="Neysa Dhawan"/>
    <x v="90"/>
    <x v="24"/>
    <s v="India"/>
    <s v="Store"/>
    <s v="Net Banking"/>
    <n v="55896"/>
  </r>
  <r>
    <x v="113"/>
    <s v="Desktop PC"/>
    <n v="4"/>
    <n v="7074"/>
    <s v="2024-04-11"/>
    <s v="Prisha Chanda"/>
    <x v="91"/>
    <x v="4"/>
    <s v="India"/>
    <s v="Store"/>
    <s v="Cash"/>
    <n v="28296"/>
  </r>
  <r>
    <x v="114"/>
    <s v="E-Reader"/>
    <n v="8"/>
    <n v="12430"/>
    <s v="2024-01-12"/>
    <s v="Hrishita Dora"/>
    <x v="92"/>
    <x v="26"/>
    <s v="India"/>
    <s v="Online"/>
    <s v="Debit Card"/>
    <n v="99440"/>
  </r>
  <r>
    <x v="115"/>
    <s v="Desktop PC"/>
    <n v="9"/>
    <n v="9726"/>
    <s v="2024-06-19"/>
    <s v="Jayan Ramakrishnan"/>
    <x v="93"/>
    <x v="20"/>
    <s v="India"/>
    <s v="Direct"/>
    <s v="Debit Card"/>
    <n v="87534"/>
  </r>
  <r>
    <x v="116"/>
    <s v="Tablet"/>
    <n v="6"/>
    <n v="15051"/>
    <s v="2024-01-07"/>
    <s v="Lakshit Sane"/>
    <x v="11"/>
    <x v="12"/>
    <s v="India"/>
    <s v="Store"/>
    <s v="UPI"/>
    <n v="90306"/>
  </r>
  <r>
    <x v="117"/>
    <s v="E-Reader"/>
    <n v="1"/>
    <n v="7209"/>
    <s v="2024-07-31"/>
    <s v="Jivika Dani"/>
    <x v="31"/>
    <x v="18"/>
    <s v="India"/>
    <s v="Store"/>
    <s v="Credit Card"/>
    <n v="7209"/>
  </r>
  <r>
    <x v="118"/>
    <s v="Smartwatch"/>
    <n v="9"/>
    <n v="8462"/>
    <s v="2024-02-27"/>
    <s v="Ahana  Hora"/>
    <x v="94"/>
    <x v="20"/>
    <s v="India"/>
    <s v="Store"/>
    <s v="UPI"/>
    <n v="76158"/>
  </r>
  <r>
    <x v="119"/>
    <s v="Laptop"/>
    <n v="6"/>
    <n v="18677"/>
    <s v="2023-12-23"/>
    <s v="Rasha Kota"/>
    <x v="95"/>
    <x v="16"/>
    <s v="India"/>
    <s v="Direct"/>
    <s v="Credit Card"/>
    <n v="112062"/>
  </r>
  <r>
    <x v="120"/>
    <s v="Printer"/>
    <n v="5"/>
    <n v="16495"/>
    <s v="2023-11-06"/>
    <s v="Oorja Sachdeva"/>
    <x v="96"/>
    <x v="15"/>
    <s v="India"/>
    <s v="Store"/>
    <s v="Debit Card"/>
    <n v="82475"/>
  </r>
  <r>
    <x v="121"/>
    <s v="Laptop"/>
    <n v="8"/>
    <n v="6983"/>
    <s v="2024-08-27"/>
    <s v="Pari Bhagat"/>
    <x v="51"/>
    <x v="18"/>
    <s v="India"/>
    <s v="Direct"/>
    <s v="Net Banking"/>
    <n v="55864"/>
  </r>
  <r>
    <x v="122"/>
    <s v="Tablet"/>
    <n v="5"/>
    <n v="10092"/>
    <s v="2023-11-10"/>
    <s v="Saanvi Ramesh"/>
    <x v="41"/>
    <x v="14"/>
    <s v="India"/>
    <s v="Direct"/>
    <s v="Credit Card"/>
    <n v="50460"/>
  </r>
  <r>
    <x v="123"/>
    <s v="Camera"/>
    <n v="2"/>
    <n v="11576"/>
    <s v="2024-01-06"/>
    <s v="Kismat Lanka"/>
    <x v="97"/>
    <x v="23"/>
    <s v="India"/>
    <s v="Store"/>
    <s v="Net Banking"/>
    <n v="23152"/>
  </r>
  <r>
    <x v="124"/>
    <s v="Printer"/>
    <n v="4"/>
    <n v="14271"/>
    <s v="2023-12-08"/>
    <s v="Gokul Chaudhary"/>
    <x v="98"/>
    <x v="15"/>
    <s v="India"/>
    <s v="Store"/>
    <s v="Credit Card"/>
    <n v="57084"/>
  </r>
  <r>
    <x v="125"/>
    <s v="Smartphone"/>
    <n v="4"/>
    <n v="5869"/>
    <s v="2024-06-13"/>
    <s v="Drishya Bahl"/>
    <x v="34"/>
    <x v="21"/>
    <s v="India"/>
    <s v="Store"/>
    <s v="Debit Card"/>
    <n v="23476"/>
  </r>
  <r>
    <x v="126"/>
    <s v="E-Reader"/>
    <n v="3"/>
    <n v="5796"/>
    <s v="2023-12-14"/>
    <s v="Divit Sundaram"/>
    <x v="99"/>
    <x v="8"/>
    <s v="India"/>
    <s v="Online"/>
    <s v="UPI"/>
    <n v="17388"/>
  </r>
  <r>
    <x v="127"/>
    <s v="Smartwatch"/>
    <n v="6"/>
    <n v="7393"/>
    <s v="2024-02-21"/>
    <s v="Lakshit Sathe"/>
    <x v="100"/>
    <x v="25"/>
    <s v="India"/>
    <s v="Online"/>
    <s v="Cash"/>
    <n v="44358"/>
  </r>
  <r>
    <x v="128"/>
    <s v="Smartwatch"/>
    <n v="3"/>
    <n v="13943"/>
    <s v="2023-12-22"/>
    <s v="Kiaan Chana"/>
    <x v="101"/>
    <x v="15"/>
    <s v="India"/>
    <s v="Store"/>
    <s v="Net Banking"/>
    <n v="41829"/>
  </r>
  <r>
    <x v="129"/>
    <s v="Laptop"/>
    <n v="4"/>
    <n v="3506"/>
    <s v="2024-08-31"/>
    <s v="Aayush De"/>
    <x v="102"/>
    <x v="10"/>
    <s v="India"/>
    <s v="Online"/>
    <s v="Cash"/>
    <n v="14024"/>
  </r>
  <r>
    <x v="130"/>
    <s v="E-Reader"/>
    <n v="6"/>
    <n v="17920"/>
    <s v="2024-07-06"/>
    <s v="Nitya Bains"/>
    <x v="103"/>
    <x v="11"/>
    <s v="India"/>
    <s v="Store"/>
    <s v="UPI"/>
    <n v="107520"/>
  </r>
  <r>
    <x v="131"/>
    <s v="Tablet"/>
    <n v="8"/>
    <n v="16550"/>
    <s v="2024-07-18"/>
    <s v="Shamik Barman"/>
    <x v="104"/>
    <x v="19"/>
    <s v="India"/>
    <s v="Online"/>
    <s v="Credit Card"/>
    <n v="132400"/>
  </r>
  <r>
    <x v="132"/>
    <s v="Smartphone"/>
    <n v="3"/>
    <n v="9213"/>
    <s v="2023-10-20"/>
    <s v="Parinaaz Chaudhary"/>
    <x v="105"/>
    <x v="15"/>
    <s v="India"/>
    <s v="Online"/>
    <s v="Credit Card"/>
    <n v="27639"/>
  </r>
  <r>
    <x v="133"/>
    <s v="External Hard Drive"/>
    <n v="8"/>
    <n v="3146"/>
    <s v="2024-09-17"/>
    <s v="Prerak Dewan"/>
    <x v="106"/>
    <x v="24"/>
    <s v="India"/>
    <s v="Direct"/>
    <s v="Cash"/>
    <n v="25168"/>
  </r>
  <r>
    <x v="134"/>
    <s v="Camera"/>
    <n v="2"/>
    <n v="4737"/>
    <s v="2024-02-09"/>
    <s v="Pihu Bakshi"/>
    <x v="107"/>
    <x v="24"/>
    <s v="India"/>
    <s v="Store"/>
    <s v="Cash"/>
    <n v="9474"/>
  </r>
  <r>
    <x v="135"/>
    <s v="Smartphone"/>
    <n v="7"/>
    <n v="17708"/>
    <s v="2024-08-16"/>
    <s v="Nishith Issac"/>
    <x v="108"/>
    <x v="9"/>
    <s v="India"/>
    <s v="Direct"/>
    <s v="UPI"/>
    <n v="123956"/>
  </r>
  <r>
    <x v="136"/>
    <s v="E-Reader"/>
    <n v="6"/>
    <n v="19729"/>
    <s v="2024-02-19"/>
    <s v="Zaina Vala"/>
    <x v="95"/>
    <x v="27"/>
    <s v="India"/>
    <s v="Store"/>
    <s v="Debit Card"/>
    <n v="118374"/>
  </r>
  <r>
    <x v="137"/>
    <s v="Camera"/>
    <n v="1"/>
    <n v="3365"/>
    <s v="2023-12-22"/>
    <s v="Shaan Grewal"/>
    <x v="109"/>
    <x v="16"/>
    <s v="India"/>
    <s v="Online"/>
    <s v="UPI"/>
    <n v="3365"/>
  </r>
  <r>
    <x v="138"/>
    <s v="Tablet"/>
    <n v="1"/>
    <n v="15856"/>
    <s v="2024-03-13"/>
    <s v="Stuvan Tara"/>
    <x v="98"/>
    <x v="26"/>
    <s v="India"/>
    <s v="Direct"/>
    <s v="Net Banking"/>
    <n v="15856"/>
  </r>
  <r>
    <x v="139"/>
    <s v="Headphones"/>
    <n v="4"/>
    <n v="18371"/>
    <s v="2024-05-22"/>
    <s v="Indranil Chawla"/>
    <x v="110"/>
    <x v="9"/>
    <s v="India"/>
    <s v="Store"/>
    <s v="Net Banking"/>
    <n v="73484"/>
  </r>
  <r>
    <x v="140"/>
    <s v="Printer"/>
    <n v="2"/>
    <n v="4170"/>
    <s v="2024-01-29"/>
    <s v="Adira Sekhon"/>
    <x v="111"/>
    <x v="22"/>
    <s v="India"/>
    <s v="Online"/>
    <s v="Credit Card"/>
    <n v="8340"/>
  </r>
  <r>
    <x v="141"/>
    <s v="Desktop PC"/>
    <n v="7"/>
    <n v="7222"/>
    <s v="2024-06-16"/>
    <s v="Shlok Majumdar"/>
    <x v="112"/>
    <x v="0"/>
    <s v="India"/>
    <s v="Online"/>
    <s v="Cash"/>
    <n v="50554"/>
  </r>
  <r>
    <x v="142"/>
    <s v="External Hard Drive"/>
    <n v="7"/>
    <n v="18473"/>
    <s v="2024-09-06"/>
    <s v="Badal Magar"/>
    <x v="113"/>
    <x v="10"/>
    <s v="India"/>
    <s v="Online"/>
    <s v="Cash"/>
    <n v="129311"/>
  </r>
  <r>
    <x v="143"/>
    <s v="External Hard Drive"/>
    <n v="8"/>
    <n v="5185"/>
    <s v="2024-05-13"/>
    <s v="Ranbir Ray"/>
    <x v="114"/>
    <x v="26"/>
    <s v="India"/>
    <s v="Store"/>
    <s v="UPI"/>
    <n v="41480"/>
  </r>
  <r>
    <x v="144"/>
    <s v="Desktop PC"/>
    <n v="9"/>
    <n v="10347"/>
    <s v="2023-11-10"/>
    <s v="Jiya Chanda"/>
    <x v="115"/>
    <x v="16"/>
    <s v="India"/>
    <s v="Direct"/>
    <s v="Credit Card"/>
    <n v="93123"/>
  </r>
  <r>
    <x v="145"/>
    <s v="Laptop"/>
    <n v="9"/>
    <n v="3537"/>
    <s v="2024-06-17"/>
    <s v="Keya Chandran"/>
    <x v="116"/>
    <x v="24"/>
    <s v="India"/>
    <s v="Direct"/>
    <s v="Cash"/>
    <n v="31833"/>
  </r>
  <r>
    <x v="146"/>
    <s v="E-Reader"/>
    <n v="8"/>
    <n v="4313"/>
    <s v="2024-03-06"/>
    <s v="Veer Bajaj"/>
    <x v="117"/>
    <x v="0"/>
    <s v="India"/>
    <s v="Store"/>
    <s v="UPI"/>
    <n v="34504"/>
  </r>
  <r>
    <x v="147"/>
    <s v="Desktop PC"/>
    <n v="1"/>
    <n v="14403"/>
    <s v="2024-07-17"/>
    <s v="Mahika Sharma"/>
    <x v="63"/>
    <x v="17"/>
    <s v="India"/>
    <s v="Online"/>
    <s v="UPI"/>
    <n v="14403"/>
  </r>
  <r>
    <x v="148"/>
    <s v="Camera"/>
    <n v="9"/>
    <n v="3873"/>
    <s v="2024-02-18"/>
    <s v="Dhanuk Ratta"/>
    <x v="58"/>
    <x v="18"/>
    <s v="India"/>
    <s v="Online"/>
    <s v="Debit Card"/>
    <n v="34857"/>
  </r>
  <r>
    <x v="149"/>
    <s v="Desktop PC"/>
    <n v="7"/>
    <n v="14683"/>
    <s v="2024-06-06"/>
    <s v="Pari Dhawan"/>
    <x v="118"/>
    <x v="27"/>
    <s v="India"/>
    <s v="Online"/>
    <s v="Debit Card"/>
    <n v="102781"/>
  </r>
  <r>
    <x v="150"/>
    <s v="Headphones"/>
    <n v="9"/>
    <n v="4295"/>
    <s v="2023-10-22"/>
    <s v="Piya Krishnamurthy"/>
    <x v="119"/>
    <x v="9"/>
    <s v="India"/>
    <s v="Store"/>
    <s v="UPI"/>
    <n v="38655"/>
  </r>
  <r>
    <x v="151"/>
    <s v="Printer"/>
    <n v="9"/>
    <n v="7955"/>
    <s v="2023-10-13"/>
    <s v="Kiaan Vig"/>
    <x v="112"/>
    <x v="16"/>
    <s v="India"/>
    <s v="Store"/>
    <s v="UPI"/>
    <n v="71595"/>
  </r>
  <r>
    <x v="152"/>
    <s v="Smartphone"/>
    <n v="4"/>
    <n v="19700"/>
    <s v="2024-08-06"/>
    <s v="Siya Master"/>
    <x v="105"/>
    <x v="11"/>
    <s v="India"/>
    <s v="Direct"/>
    <s v="UPI"/>
    <n v="78800"/>
  </r>
  <r>
    <x v="153"/>
    <s v="E-Reader"/>
    <n v="7"/>
    <n v="10211"/>
    <s v="2024-05-26"/>
    <s v="Anay Bhagat"/>
    <x v="120"/>
    <x v="7"/>
    <s v="India"/>
    <s v="Online"/>
    <s v="Cash"/>
    <n v="71477"/>
  </r>
  <r>
    <x v="154"/>
    <s v="Headphones"/>
    <n v="2"/>
    <n v="3007"/>
    <s v="2024-01-17"/>
    <s v="Prerak Devan"/>
    <x v="121"/>
    <x v="20"/>
    <s v="India"/>
    <s v="Store"/>
    <s v="Credit Card"/>
    <n v="6014"/>
  </r>
  <r>
    <x v="155"/>
    <s v="E-Reader"/>
    <n v="8"/>
    <n v="6820"/>
    <s v="2024-07-16"/>
    <s v="Jayan Raja"/>
    <x v="1"/>
    <x v="1"/>
    <s v="India"/>
    <s v="Online"/>
    <s v="Net Banking"/>
    <n v="54560"/>
  </r>
  <r>
    <x v="156"/>
    <s v="Smartphone"/>
    <n v="5"/>
    <n v="18062"/>
    <s v="2024-06-15"/>
    <s v="Kismat Thaker"/>
    <x v="122"/>
    <x v="1"/>
    <s v="India"/>
    <s v="Direct"/>
    <s v="Credit Card"/>
    <n v="90310"/>
  </r>
  <r>
    <x v="157"/>
    <s v="E-Reader"/>
    <n v="3"/>
    <n v="18592"/>
    <s v="2023-09-30"/>
    <s v="Anahita Sundaram"/>
    <x v="77"/>
    <x v="21"/>
    <s v="India"/>
    <s v="Direct"/>
    <s v="Cash"/>
    <n v="55776"/>
  </r>
  <r>
    <x v="158"/>
    <s v="Smartwatch"/>
    <n v="1"/>
    <n v="4233"/>
    <s v="2024-04-18"/>
    <s v="Arhaan Rau"/>
    <x v="123"/>
    <x v="1"/>
    <s v="India"/>
    <s v="Store"/>
    <s v="Net Banking"/>
    <n v="4233"/>
  </r>
  <r>
    <x v="159"/>
    <s v="Smartphone"/>
    <n v="9"/>
    <n v="18005"/>
    <s v="2023-12-20"/>
    <s v="Anahi Ratta"/>
    <x v="10"/>
    <x v="15"/>
    <s v="India"/>
    <s v="Online"/>
    <s v="UPI"/>
    <n v="162045"/>
  </r>
  <r>
    <x v="160"/>
    <s v="Desktop PC"/>
    <n v="3"/>
    <n v="4326"/>
    <s v="2023-10-26"/>
    <s v="Parinaaz Balay"/>
    <x v="124"/>
    <x v="1"/>
    <s v="India"/>
    <s v="Store"/>
    <s v="Credit Card"/>
    <n v="12978"/>
  </r>
  <r>
    <x v="161"/>
    <s v="Camera"/>
    <n v="8"/>
    <n v="19800"/>
    <s v="2024-04-03"/>
    <s v="Vanya Chowdhury"/>
    <x v="78"/>
    <x v="6"/>
    <s v="India"/>
    <s v="Store"/>
    <s v="Cash"/>
    <n v="158400"/>
  </r>
  <r>
    <x v="162"/>
    <s v="Desktop PC"/>
    <n v="9"/>
    <n v="3193"/>
    <s v="2023-10-02"/>
    <s v="Jhanvi Zacharia"/>
    <x v="53"/>
    <x v="7"/>
    <s v="India"/>
    <s v="Online"/>
    <s v="UPI"/>
    <n v="28737"/>
  </r>
  <r>
    <x v="163"/>
    <s v="External Hard Drive"/>
    <n v="5"/>
    <n v="12058"/>
    <s v="2023-11-11"/>
    <s v="Shayak Halder"/>
    <x v="125"/>
    <x v="6"/>
    <s v="India"/>
    <s v="Store"/>
    <s v="UPI"/>
    <n v="60290"/>
  </r>
  <r>
    <x v="164"/>
    <s v="Laptop"/>
    <n v="5"/>
    <n v="11820"/>
    <s v="2024-03-19"/>
    <s v="Parinaaz Uppal"/>
    <x v="126"/>
    <x v="0"/>
    <s v="India"/>
    <s v="Direct"/>
    <s v="Debit Card"/>
    <n v="59100"/>
  </r>
  <r>
    <x v="165"/>
    <s v="External Hard Drive"/>
    <n v="2"/>
    <n v="17455"/>
    <s v="2023-10-09"/>
    <s v="Farhan Jhaveri"/>
    <x v="127"/>
    <x v="8"/>
    <s v="India"/>
    <s v="Store"/>
    <s v="Cash"/>
    <n v="34910"/>
  </r>
  <r>
    <x v="166"/>
    <s v="Camera"/>
    <n v="8"/>
    <n v="2907"/>
    <s v="2024-01-04"/>
    <s v="Ayesha Kar"/>
    <x v="128"/>
    <x v="11"/>
    <s v="India"/>
    <s v="Online"/>
    <s v="Cash"/>
    <n v="23256"/>
  </r>
  <r>
    <x v="167"/>
    <s v="Smartphone"/>
    <n v="7"/>
    <n v="18475"/>
    <s v="2023-11-29"/>
    <s v="Anay Balakrishnan"/>
    <x v="129"/>
    <x v="15"/>
    <s v="India"/>
    <s v="Online"/>
    <s v="Credit Card"/>
    <n v="129325"/>
  </r>
  <r>
    <x v="168"/>
    <s v="External Hard Drive"/>
    <n v="5"/>
    <n v="14871"/>
    <s v="2023-12-31"/>
    <s v="Vritika Sura"/>
    <x v="68"/>
    <x v="11"/>
    <s v="India"/>
    <s v="Online"/>
    <s v="Net Banking"/>
    <n v="74355"/>
  </r>
  <r>
    <x v="169"/>
    <s v="Printer"/>
    <n v="2"/>
    <n v="17223"/>
    <s v="2024-02-01"/>
    <s v="Sara Sule"/>
    <x v="130"/>
    <x v="7"/>
    <s v="India"/>
    <s v="Direct"/>
    <s v="Credit Card"/>
    <n v="34446"/>
  </r>
  <r>
    <x v="170"/>
    <s v="Headphones"/>
    <n v="6"/>
    <n v="3097"/>
    <s v="2023-12-12"/>
    <s v="Lakshit Raval"/>
    <x v="69"/>
    <x v="7"/>
    <s v="India"/>
    <s v="Online"/>
    <s v="Debit Card"/>
    <n v="18582"/>
  </r>
  <r>
    <x v="171"/>
    <s v="Desktop PC"/>
    <n v="8"/>
    <n v="14428"/>
    <s v="2023-10-22"/>
    <s v="Hansh Randhawa"/>
    <x v="131"/>
    <x v="17"/>
    <s v="India"/>
    <s v="Online"/>
    <s v="Net Banking"/>
    <n v="115424"/>
  </r>
  <r>
    <x v="172"/>
    <s v="Tablet"/>
    <n v="2"/>
    <n v="4792"/>
    <s v="2024-02-20"/>
    <s v="Advika Kashyap"/>
    <x v="132"/>
    <x v="10"/>
    <s v="India"/>
    <s v="Direct"/>
    <s v="Cash"/>
    <n v="9584"/>
  </r>
  <r>
    <x v="173"/>
    <s v="Headphones"/>
    <n v="4"/>
    <n v="16317"/>
    <s v="2024-08-18"/>
    <s v="Lakshay Sinha"/>
    <x v="133"/>
    <x v="15"/>
    <s v="India"/>
    <s v="Store"/>
    <s v="Credit Card"/>
    <n v="65268"/>
  </r>
  <r>
    <x v="174"/>
    <s v="External Hard Drive"/>
    <n v="6"/>
    <n v="13791"/>
    <s v="2023-10-29"/>
    <s v="Vidur Manne"/>
    <x v="134"/>
    <x v="8"/>
    <s v="India"/>
    <s v="Store"/>
    <s v="Debit Card"/>
    <n v="82746"/>
  </r>
  <r>
    <x v="175"/>
    <s v="Printer"/>
    <n v="8"/>
    <n v="11220"/>
    <s v="2024-07-04"/>
    <s v="Riya Ganguly"/>
    <x v="135"/>
    <x v="3"/>
    <s v="India"/>
    <s v="Store"/>
    <s v="Credit Card"/>
    <n v="89760"/>
  </r>
  <r>
    <x v="176"/>
    <s v="Tablet"/>
    <n v="4"/>
    <n v="3716"/>
    <s v="2023-09-30"/>
    <s v="Baiju Goswami"/>
    <x v="136"/>
    <x v="9"/>
    <s v="India"/>
    <s v="Online"/>
    <s v="Net Banking"/>
    <n v="14864"/>
  </r>
  <r>
    <x v="177"/>
    <s v="External Hard Drive"/>
    <n v="7"/>
    <n v="16402"/>
    <s v="2024-02-11"/>
    <s v="Dhanuk Chawla"/>
    <x v="39"/>
    <x v="26"/>
    <s v="India"/>
    <s v="Store"/>
    <s v="Debit Card"/>
    <n v="114814"/>
  </r>
  <r>
    <x v="178"/>
    <s v="Desktop PC"/>
    <n v="7"/>
    <n v="9533"/>
    <s v="2024-05-31"/>
    <s v="Divyansh Devan"/>
    <x v="137"/>
    <x v="21"/>
    <s v="India"/>
    <s v="Store"/>
    <s v="Credit Card"/>
    <n v="66731"/>
  </r>
  <r>
    <x v="179"/>
    <s v="Printer"/>
    <n v="8"/>
    <n v="5333"/>
    <s v="2024-06-19"/>
    <s v="Onkar Banik"/>
    <x v="134"/>
    <x v="24"/>
    <s v="India"/>
    <s v="Direct"/>
    <s v="Credit Card"/>
    <n v="42664"/>
  </r>
  <r>
    <x v="180"/>
    <s v="Printer"/>
    <n v="2"/>
    <n v="10527"/>
    <s v="2024-04-02"/>
    <s v="Nitya Vyas"/>
    <x v="1"/>
    <x v="19"/>
    <s v="India"/>
    <s v="Direct"/>
    <s v="Cash"/>
    <n v="21054"/>
  </r>
  <r>
    <x v="181"/>
    <s v="Smartphone"/>
    <n v="7"/>
    <n v="14111"/>
    <s v="2024-07-07"/>
    <s v="Arnav Dutta"/>
    <x v="138"/>
    <x v="2"/>
    <s v="India"/>
    <s v="Direct"/>
    <s v="Debit Card"/>
    <n v="98777"/>
  </r>
  <r>
    <x v="182"/>
    <s v="Desktop PC"/>
    <n v="1"/>
    <n v="17321"/>
    <s v="2023-12-03"/>
    <s v="Uthkarsh Kuruvilla"/>
    <x v="139"/>
    <x v="0"/>
    <s v="India"/>
    <s v="Online"/>
    <s v="UPI"/>
    <n v="17321"/>
  </r>
  <r>
    <x v="183"/>
    <s v="Smartphone"/>
    <n v="4"/>
    <n v="2662"/>
    <s v="2023-12-13"/>
    <s v="Myra Mangal"/>
    <x v="31"/>
    <x v="27"/>
    <s v="India"/>
    <s v="Online"/>
    <s v="Net Banking"/>
    <n v="10648"/>
  </r>
  <r>
    <x v="184"/>
    <s v="Laptop"/>
    <n v="9"/>
    <n v="16809"/>
    <s v="2024-08-27"/>
    <s v="Bhavin Raja"/>
    <x v="114"/>
    <x v="20"/>
    <s v="India"/>
    <s v="Direct"/>
    <s v="Net Banking"/>
    <n v="151281"/>
  </r>
  <r>
    <x v="185"/>
    <s v="E-Reader"/>
    <n v="5"/>
    <n v="11433"/>
    <s v="2024-07-15"/>
    <s v="Biju Chaudhuri"/>
    <x v="43"/>
    <x v="22"/>
    <s v="India"/>
    <s v="Store"/>
    <s v="Debit Card"/>
    <n v="57165"/>
  </r>
  <r>
    <x v="186"/>
    <s v="Tablet"/>
    <n v="2"/>
    <n v="9998"/>
    <s v="2024-01-24"/>
    <s v="Dharmajan Bahl"/>
    <x v="140"/>
    <x v="23"/>
    <s v="India"/>
    <s v="Online"/>
    <s v="Net Banking"/>
    <n v="19996"/>
  </r>
  <r>
    <x v="187"/>
    <s v="Laptop"/>
    <n v="5"/>
    <n v="10989"/>
    <s v="2024-09-20"/>
    <s v="Aaina Dhingra"/>
    <x v="141"/>
    <x v="5"/>
    <s v="India"/>
    <s v="Store"/>
    <s v="UPI"/>
    <n v="54945"/>
  </r>
  <r>
    <x v="188"/>
    <s v="Tablet"/>
    <n v="6"/>
    <n v="11993"/>
    <s v="2024-08-28"/>
    <s v="Parinaaz Lall"/>
    <x v="142"/>
    <x v="13"/>
    <s v="India"/>
    <s v="Store"/>
    <s v="Cash"/>
    <n v="71958"/>
  </r>
  <r>
    <x v="189"/>
    <s v="Printer"/>
    <n v="1"/>
    <n v="13133"/>
    <s v="2024-06-01"/>
    <s v="Zain Lad"/>
    <x v="102"/>
    <x v="1"/>
    <s v="India"/>
    <s v="Store"/>
    <s v="Cash"/>
    <n v="13133"/>
  </r>
  <r>
    <x v="190"/>
    <s v="External Hard Drive"/>
    <n v="4"/>
    <n v="13111"/>
    <s v="2023-10-14"/>
    <s v="Prerak Vasa"/>
    <x v="143"/>
    <x v="23"/>
    <s v="India"/>
    <s v="Store"/>
    <s v="UPI"/>
    <n v="52444"/>
  </r>
  <r>
    <x v="191"/>
    <s v="Printer"/>
    <n v="2"/>
    <n v="5794"/>
    <s v="2023-10-18"/>
    <s v="Siya Sachdeva"/>
    <x v="144"/>
    <x v="22"/>
    <s v="India"/>
    <s v="Online"/>
    <s v="UPI"/>
    <n v="11588"/>
  </r>
  <r>
    <x v="192"/>
    <s v="Printer"/>
    <n v="5"/>
    <n v="9752"/>
    <s v="2024-04-23"/>
    <s v="Uthkarsh Taneja"/>
    <x v="94"/>
    <x v="19"/>
    <s v="India"/>
    <s v="Direct"/>
    <s v="Credit Card"/>
    <n v="48760"/>
  </r>
  <r>
    <x v="193"/>
    <s v="Desktop PC"/>
    <n v="5"/>
    <n v="18639"/>
    <s v="2024-03-25"/>
    <s v="Seher De"/>
    <x v="36"/>
    <x v="8"/>
    <s v="India"/>
    <s v="Direct"/>
    <s v="UPI"/>
    <n v="93195"/>
  </r>
  <r>
    <x v="194"/>
    <s v="Tablet"/>
    <n v="5"/>
    <n v="8770"/>
    <s v="2024-07-15"/>
    <s v="Hridaan Chaudry"/>
    <x v="116"/>
    <x v="10"/>
    <s v="India"/>
    <s v="Direct"/>
    <s v="Credit Card"/>
    <n v="43850"/>
  </r>
  <r>
    <x v="195"/>
    <s v="Camera"/>
    <n v="1"/>
    <n v="8385"/>
    <s v="2024-09-21"/>
    <s v="Dhruv Sathe"/>
    <x v="145"/>
    <x v="0"/>
    <s v="India"/>
    <s v="Store"/>
    <s v="Net Banking"/>
    <n v="8385"/>
  </r>
  <r>
    <x v="196"/>
    <s v="Desktop PC"/>
    <n v="1"/>
    <n v="11527"/>
    <s v="2024-01-03"/>
    <s v="Yuvaan Ravel"/>
    <x v="118"/>
    <x v="23"/>
    <s v="India"/>
    <s v="Direct"/>
    <s v="Net Banking"/>
    <n v="11527"/>
  </r>
  <r>
    <x v="197"/>
    <s v="Tablet"/>
    <n v="9"/>
    <n v="18074"/>
    <s v="2024-06-12"/>
    <s v="Anahi Wagle"/>
    <x v="146"/>
    <x v="12"/>
    <s v="India"/>
    <s v="Store"/>
    <s v="Cash"/>
    <n v="162666"/>
  </r>
  <r>
    <x v="198"/>
    <s v="Tablet"/>
    <n v="5"/>
    <n v="7400"/>
    <s v="2024-03-01"/>
    <s v="Kiara Rao"/>
    <x v="147"/>
    <x v="5"/>
    <s v="India"/>
    <s v="Direct"/>
    <s v="Net Banking"/>
    <n v="37000"/>
  </r>
  <r>
    <x v="199"/>
    <s v="Laptop"/>
    <n v="7"/>
    <n v="3677"/>
    <s v="2024-01-05"/>
    <s v="Taimur Tara"/>
    <x v="148"/>
    <x v="6"/>
    <s v="India"/>
    <s v="Online"/>
    <s v="Credit Card"/>
    <n v="25739"/>
  </r>
  <r>
    <x v="200"/>
    <s v="Camera"/>
    <n v="4"/>
    <n v="8149"/>
    <s v="2024-07-11"/>
    <s v="Pranay Bhagat"/>
    <x v="149"/>
    <x v="26"/>
    <s v="India"/>
    <s v="Store"/>
    <s v="UPI"/>
    <n v="32596"/>
  </r>
  <r>
    <x v="201"/>
    <s v="Smartwatch"/>
    <n v="4"/>
    <n v="7735"/>
    <s v="2024-07-28"/>
    <s v="Vritika Raju"/>
    <x v="88"/>
    <x v="14"/>
    <s v="India"/>
    <s v="Store"/>
    <s v="Net Banking"/>
    <n v="30940"/>
  </r>
  <r>
    <x v="202"/>
    <s v="External Hard Drive"/>
    <n v="3"/>
    <n v="17409"/>
    <s v="2024-09-05"/>
    <s v="Samar Joshi"/>
    <x v="41"/>
    <x v="10"/>
    <s v="India"/>
    <s v="Store"/>
    <s v="Net Banking"/>
    <n v="52227"/>
  </r>
  <r>
    <x v="203"/>
    <s v="Desktop PC"/>
    <n v="2"/>
    <n v="19765"/>
    <s v="2024-03-13"/>
    <s v="Amira Bhardwaj"/>
    <x v="10"/>
    <x v="24"/>
    <s v="India"/>
    <s v="Online"/>
    <s v="Net Banking"/>
    <n v="39530"/>
  </r>
  <r>
    <x v="204"/>
    <s v="Printer"/>
    <n v="3"/>
    <n v="6248"/>
    <s v="2023-12-07"/>
    <s v="Bhamini Sangha"/>
    <x v="150"/>
    <x v="5"/>
    <s v="India"/>
    <s v="Online"/>
    <s v="Debit Card"/>
    <n v="18744"/>
  </r>
  <r>
    <x v="205"/>
    <s v="Smartwatch"/>
    <n v="2"/>
    <n v="14351"/>
    <s v="2024-08-13"/>
    <s v="Jiya Sama"/>
    <x v="151"/>
    <x v="25"/>
    <s v="India"/>
    <s v="Direct"/>
    <s v="UPI"/>
    <n v="28702"/>
  </r>
  <r>
    <x v="206"/>
    <s v="External Hard Drive"/>
    <n v="4"/>
    <n v="3565"/>
    <s v="2024-09-15"/>
    <s v="Manjari Shenoy"/>
    <x v="152"/>
    <x v="3"/>
    <s v="India"/>
    <s v="Store"/>
    <s v="Cash"/>
    <n v="14260"/>
  </r>
  <r>
    <x v="207"/>
    <s v="Smartphone"/>
    <n v="5"/>
    <n v="6593"/>
    <s v="2024-07-15"/>
    <s v="Neelofar Rau"/>
    <x v="35"/>
    <x v="3"/>
    <s v="India"/>
    <s v="Store"/>
    <s v="UPI"/>
    <n v="32965"/>
  </r>
  <r>
    <x v="208"/>
    <s v="E-Reader"/>
    <n v="2"/>
    <n v="12602"/>
    <s v="2023-12-05"/>
    <s v="Yuvraj  Dugal"/>
    <x v="4"/>
    <x v="6"/>
    <s v="India"/>
    <s v="Online"/>
    <s v="Net Banking"/>
    <n v="25204"/>
  </r>
  <r>
    <x v="209"/>
    <s v="Printer"/>
    <n v="2"/>
    <n v="5339"/>
    <s v="2024-01-18"/>
    <s v="Umang Dalal"/>
    <x v="99"/>
    <x v="8"/>
    <s v="India"/>
    <s v="Online"/>
    <s v="Credit Card"/>
    <n v="10678"/>
  </r>
  <r>
    <x v="210"/>
    <s v="Desktop PC"/>
    <n v="1"/>
    <n v="9615"/>
    <s v="2024-04-06"/>
    <s v="Emir Lal"/>
    <x v="111"/>
    <x v="19"/>
    <s v="India"/>
    <s v="Online"/>
    <s v="Cash"/>
    <n v="9615"/>
  </r>
  <r>
    <x v="211"/>
    <s v="External Hard Drive"/>
    <n v="8"/>
    <n v="11504"/>
    <s v="2023-12-31"/>
    <s v="Dhanuk Dube"/>
    <x v="153"/>
    <x v="15"/>
    <s v="India"/>
    <s v="Direct"/>
    <s v="Net Banking"/>
    <n v="92032"/>
  </r>
  <r>
    <x v="212"/>
    <s v="External Hard Drive"/>
    <n v="9"/>
    <n v="8337"/>
    <s v="2023-10-17"/>
    <s v="Manjari Dhar"/>
    <x v="82"/>
    <x v="20"/>
    <s v="India"/>
    <s v="Store"/>
    <s v="Credit Card"/>
    <n v="75033"/>
  </r>
  <r>
    <x v="213"/>
    <s v="E-Reader"/>
    <n v="5"/>
    <n v="7241"/>
    <s v="2023-12-02"/>
    <s v="Uthkarsh Garde"/>
    <x v="135"/>
    <x v="24"/>
    <s v="India"/>
    <s v="Direct"/>
    <s v="Cash"/>
    <n v="36205"/>
  </r>
  <r>
    <x v="214"/>
    <s v="Tablet"/>
    <n v="4"/>
    <n v="18757"/>
    <s v="2024-06-19"/>
    <s v="Jayant Kala"/>
    <x v="64"/>
    <x v="27"/>
    <s v="India"/>
    <s v="Store"/>
    <s v="Net Banking"/>
    <n v="75028"/>
  </r>
  <r>
    <x v="215"/>
    <s v="Tablet"/>
    <n v="6"/>
    <n v="2833"/>
    <s v="2024-09-10"/>
    <s v="Eshani Kari"/>
    <x v="14"/>
    <x v="8"/>
    <s v="India"/>
    <s v="Store"/>
    <s v="Credit Card"/>
    <n v="16998"/>
  </r>
  <r>
    <x v="216"/>
    <s v="Camera"/>
    <n v="7"/>
    <n v="16074"/>
    <s v="2023-11-19"/>
    <s v="Kismat Rama"/>
    <x v="154"/>
    <x v="22"/>
    <s v="India"/>
    <s v="Online"/>
    <s v="Net Banking"/>
    <n v="112518"/>
  </r>
  <r>
    <x v="217"/>
    <s v="E-Reader"/>
    <n v="4"/>
    <n v="4073"/>
    <s v="2024-01-02"/>
    <s v="Samiha Hayre"/>
    <x v="155"/>
    <x v="0"/>
    <s v="India"/>
    <s v="Direct"/>
    <s v="Credit Card"/>
    <n v="16292"/>
  </r>
  <r>
    <x v="218"/>
    <s v="E-Reader"/>
    <n v="3"/>
    <n v="14236"/>
    <s v="2024-09-12"/>
    <s v="Samiha Sanghvi"/>
    <x v="156"/>
    <x v="13"/>
    <s v="India"/>
    <s v="Online"/>
    <s v="UPI"/>
    <n v="42708"/>
  </r>
  <r>
    <x v="219"/>
    <s v="Printer"/>
    <n v="9"/>
    <n v="8216"/>
    <s v="2024-08-20"/>
    <s v="Aarav Kothari"/>
    <x v="124"/>
    <x v="25"/>
    <s v="India"/>
    <s v="Direct"/>
    <s v="Debit Card"/>
    <n v="73944"/>
  </r>
  <r>
    <x v="220"/>
    <s v="Laptop"/>
    <n v="2"/>
    <n v="16860"/>
    <s v="2024-04-07"/>
    <s v="Veer Sampath"/>
    <x v="157"/>
    <x v="21"/>
    <s v="India"/>
    <s v="Online"/>
    <s v="Credit Card"/>
    <n v="33720"/>
  </r>
  <r>
    <x v="221"/>
    <s v="Camera"/>
    <n v="5"/>
    <n v="4968"/>
    <s v="2024-03-02"/>
    <s v="Raghav Edwin"/>
    <x v="158"/>
    <x v="19"/>
    <s v="India"/>
    <s v="Store"/>
    <s v="Net Banking"/>
    <n v="24840"/>
  </r>
  <r>
    <x v="222"/>
    <s v="E-Reader"/>
    <n v="1"/>
    <n v="14435"/>
    <s v="2024-08-10"/>
    <s v="Nishith Som"/>
    <x v="159"/>
    <x v="8"/>
    <s v="India"/>
    <s v="Store"/>
    <s v="Net Banking"/>
    <n v="14435"/>
  </r>
  <r>
    <x v="223"/>
    <s v="Printer"/>
    <n v="9"/>
    <n v="19332"/>
    <s v="2024-04-18"/>
    <s v="Pari Koshy"/>
    <x v="160"/>
    <x v="13"/>
    <s v="India"/>
    <s v="Online"/>
    <s v="Net Banking"/>
    <n v="173988"/>
  </r>
  <r>
    <x v="224"/>
    <s v="External Hard Drive"/>
    <n v="4"/>
    <n v="17452"/>
    <s v="2024-02-16"/>
    <s v="Reyansh Kohli"/>
    <x v="161"/>
    <x v="1"/>
    <s v="India"/>
    <s v="Online"/>
    <s v="Cash"/>
    <n v="69808"/>
  </r>
  <r>
    <x v="225"/>
    <s v="E-Reader"/>
    <n v="6"/>
    <n v="7347"/>
    <s v="2023-11-15"/>
    <s v="Manjari Handa"/>
    <x v="118"/>
    <x v="16"/>
    <s v="India"/>
    <s v="Direct"/>
    <s v="Credit Card"/>
    <n v="44082"/>
  </r>
  <r>
    <x v="226"/>
    <s v="Tablet"/>
    <n v="6"/>
    <n v="14323"/>
    <s v="2023-11-08"/>
    <s v="Indranil Agrawal"/>
    <x v="162"/>
    <x v="12"/>
    <s v="India"/>
    <s v="Store"/>
    <s v="UPI"/>
    <n v="85938"/>
  </r>
  <r>
    <x v="227"/>
    <s v="Printer"/>
    <n v="2"/>
    <n v="4257"/>
    <s v="2024-02-23"/>
    <s v="Badal Choudhary"/>
    <x v="76"/>
    <x v="19"/>
    <s v="India"/>
    <s v="Store"/>
    <s v="Net Banking"/>
    <n v="8514"/>
  </r>
  <r>
    <x v="228"/>
    <s v="Printer"/>
    <n v="8"/>
    <n v="3175"/>
    <s v="2023-11-05"/>
    <s v="Purab Raja"/>
    <x v="72"/>
    <x v="16"/>
    <s v="India"/>
    <s v="Store"/>
    <s v="Cash"/>
    <n v="25400"/>
  </r>
  <r>
    <x v="229"/>
    <s v="Tablet"/>
    <n v="9"/>
    <n v="12301"/>
    <s v="2024-06-24"/>
    <s v="Nitara Jha"/>
    <x v="163"/>
    <x v="1"/>
    <s v="India"/>
    <s v="Direct"/>
    <s v="Cash"/>
    <n v="110709"/>
  </r>
  <r>
    <x v="230"/>
    <s v="Smartphone"/>
    <n v="7"/>
    <n v="19589"/>
    <s v="2023-12-08"/>
    <s v="Suhana Konda"/>
    <x v="92"/>
    <x v="9"/>
    <s v="India"/>
    <s v="Store"/>
    <s v="Cash"/>
    <n v="137123"/>
  </r>
  <r>
    <x v="231"/>
    <s v="Desktop PC"/>
    <n v="5"/>
    <n v="7549"/>
    <s v="2023-12-13"/>
    <s v="Hiran Tata"/>
    <x v="47"/>
    <x v="1"/>
    <s v="India"/>
    <s v="Direct"/>
    <s v="UPI"/>
    <n v="37745"/>
  </r>
  <r>
    <x v="232"/>
    <s v="External Hard Drive"/>
    <n v="8"/>
    <n v="12350"/>
    <s v="2023-11-01"/>
    <s v="Ayesha Sarraf"/>
    <x v="164"/>
    <x v="21"/>
    <s v="India"/>
    <s v="Store"/>
    <s v="Cash"/>
    <n v="98800"/>
  </r>
  <r>
    <x v="233"/>
    <s v="Smartwatch"/>
    <n v="4"/>
    <n v="7779"/>
    <s v="2024-04-09"/>
    <s v="Indranil Sinha"/>
    <x v="72"/>
    <x v="15"/>
    <s v="India"/>
    <s v="Direct"/>
    <s v="Debit Card"/>
    <n v="31116"/>
  </r>
  <r>
    <x v="234"/>
    <s v="Tablet"/>
    <n v="6"/>
    <n v="3258"/>
    <s v="2024-08-08"/>
    <s v="Kaira Keer"/>
    <x v="153"/>
    <x v="26"/>
    <s v="India"/>
    <s v="Online"/>
    <s v="Cash"/>
    <n v="19548"/>
  </r>
  <r>
    <x v="235"/>
    <s v="Camera"/>
    <n v="4"/>
    <n v="3901"/>
    <s v="2024-02-08"/>
    <s v="Vivaan Thaker"/>
    <x v="165"/>
    <x v="3"/>
    <s v="India"/>
    <s v="Online"/>
    <s v="Credit Card"/>
    <n v="15604"/>
  </r>
  <r>
    <x v="236"/>
    <s v="Smartphone"/>
    <n v="7"/>
    <n v="7042"/>
    <s v="2023-10-15"/>
    <s v="Nehmat Mahajan"/>
    <x v="81"/>
    <x v="25"/>
    <s v="India"/>
    <s v="Direct"/>
    <s v="Debit Card"/>
    <n v="49294"/>
  </r>
  <r>
    <x v="237"/>
    <s v="Camera"/>
    <n v="5"/>
    <n v="17937"/>
    <s v="2024-05-18"/>
    <s v="Urvi Shankar"/>
    <x v="34"/>
    <x v="26"/>
    <s v="India"/>
    <s v="Direct"/>
    <s v="Net Banking"/>
    <n v="89685"/>
  </r>
  <r>
    <x v="238"/>
    <s v="External Hard Drive"/>
    <n v="8"/>
    <n v="18978"/>
    <s v="2024-09-05"/>
    <s v="Taimur Tank"/>
    <x v="166"/>
    <x v="4"/>
    <s v="India"/>
    <s v="Online"/>
    <s v="Net Banking"/>
    <n v="151824"/>
  </r>
  <r>
    <x v="239"/>
    <s v="Printer"/>
    <n v="4"/>
    <n v="19870"/>
    <s v="2024-02-10"/>
    <s v="Tarini Din"/>
    <x v="167"/>
    <x v="7"/>
    <s v="India"/>
    <s v="Online"/>
    <s v="Debit Card"/>
    <n v="79480"/>
  </r>
  <r>
    <x v="240"/>
    <s v="Smartwatch"/>
    <n v="1"/>
    <n v="2101"/>
    <s v="2024-05-01"/>
    <s v="Rasha Sundaram"/>
    <x v="38"/>
    <x v="22"/>
    <s v="India"/>
    <s v="Direct"/>
    <s v="Cash"/>
    <n v="2101"/>
  </r>
  <r>
    <x v="241"/>
    <s v="External Hard Drive"/>
    <n v="6"/>
    <n v="16920"/>
    <s v="2024-02-21"/>
    <s v="Saanvi Brar"/>
    <x v="168"/>
    <x v="0"/>
    <s v="India"/>
    <s v="Direct"/>
    <s v="Debit Card"/>
    <n v="101520"/>
  </r>
  <r>
    <x v="242"/>
    <s v="Smartwatch"/>
    <n v="4"/>
    <n v="8834"/>
    <s v="2024-06-02"/>
    <s v="Rohan Verma"/>
    <x v="169"/>
    <x v="8"/>
    <s v="India"/>
    <s v="Store"/>
    <s v="Debit Card"/>
    <n v="35336"/>
  </r>
  <r>
    <x v="243"/>
    <s v="Smartphone"/>
    <n v="8"/>
    <n v="12274"/>
    <s v="2023-09-27"/>
    <s v="Shray Jain"/>
    <x v="170"/>
    <x v="20"/>
    <s v="India"/>
    <s v="Store"/>
    <s v="Cash"/>
    <n v="98192"/>
  </r>
  <r>
    <x v="244"/>
    <s v="Laptop"/>
    <n v="6"/>
    <n v="19370"/>
    <s v="2023-10-05"/>
    <s v="Manikya Sani"/>
    <x v="46"/>
    <x v="16"/>
    <s v="India"/>
    <s v="Online"/>
    <s v="Credit Card"/>
    <n v="116220"/>
  </r>
  <r>
    <x v="245"/>
    <s v="Headphones"/>
    <n v="6"/>
    <n v="10715"/>
    <s v="2023-11-30"/>
    <s v="Rania Bahri"/>
    <x v="171"/>
    <x v="2"/>
    <s v="India"/>
    <s v="Online"/>
    <s v="Credit Card"/>
    <n v="64290"/>
  </r>
  <r>
    <x v="246"/>
    <s v="Printer"/>
    <n v="9"/>
    <n v="5211"/>
    <s v="2024-05-27"/>
    <s v="Nishith Kata"/>
    <x v="172"/>
    <x v="21"/>
    <s v="India"/>
    <s v="Direct"/>
    <s v="Debit Card"/>
    <n v="46899"/>
  </r>
  <r>
    <x v="247"/>
    <s v="E-Reader"/>
    <n v="1"/>
    <n v="12600"/>
    <s v="2023-11-11"/>
    <s v="Hansh Basak"/>
    <x v="96"/>
    <x v="9"/>
    <s v="India"/>
    <s v="Online"/>
    <s v="UPI"/>
    <n v="12600"/>
  </r>
  <r>
    <x v="248"/>
    <s v="External Hard Drive"/>
    <n v="9"/>
    <n v="8564"/>
    <s v="2024-01-12"/>
    <s v="Taimur Vala"/>
    <x v="119"/>
    <x v="24"/>
    <s v="India"/>
    <s v="Direct"/>
    <s v="Net Banking"/>
    <n v="77076"/>
  </r>
  <r>
    <x v="249"/>
    <s v="External Hard Drive"/>
    <n v="4"/>
    <n v="7936"/>
    <s v="2024-07-01"/>
    <s v="Yuvraj  Gole"/>
    <x v="173"/>
    <x v="25"/>
    <s v="India"/>
    <s v="Store"/>
    <s v="Debit Card"/>
    <n v="31744"/>
  </r>
  <r>
    <x v="250"/>
    <s v="Smartphone"/>
    <n v="7"/>
    <n v="16941"/>
    <s v="2024-04-05"/>
    <s v="Tiya Bhandari"/>
    <x v="174"/>
    <x v="3"/>
    <s v="India"/>
    <s v="Store"/>
    <s v="Credit Card"/>
    <n v="118587"/>
  </r>
  <r>
    <x v="251"/>
    <s v="Tablet"/>
    <n v="4"/>
    <n v="7666"/>
    <s v="2024-07-08"/>
    <s v="Fateh Aggarwal"/>
    <x v="175"/>
    <x v="7"/>
    <s v="India"/>
    <s v="Store"/>
    <s v="Cash"/>
    <n v="30664"/>
  </r>
  <r>
    <x v="252"/>
    <s v="External Hard Drive"/>
    <n v="3"/>
    <n v="15002"/>
    <s v="2024-05-29"/>
    <s v="Ishita Mann"/>
    <x v="176"/>
    <x v="23"/>
    <s v="India"/>
    <s v="Direct"/>
    <s v="Cash"/>
    <n v="45006"/>
  </r>
  <r>
    <x v="253"/>
    <s v="Printer"/>
    <n v="8"/>
    <n v="5532"/>
    <s v="2024-08-12"/>
    <s v="Saanvi Kamdar"/>
    <x v="177"/>
    <x v="1"/>
    <s v="India"/>
    <s v="Direct"/>
    <s v="UPI"/>
    <n v="44256"/>
  </r>
  <r>
    <x v="254"/>
    <s v="Smartwatch"/>
    <n v="1"/>
    <n v="4801"/>
    <s v="2023-12-10"/>
    <s v="Gokul Bawa"/>
    <x v="24"/>
    <x v="22"/>
    <s v="India"/>
    <s v="Online"/>
    <s v="Debit Card"/>
    <n v="4801"/>
  </r>
  <r>
    <x v="255"/>
    <s v="Camera"/>
    <n v="4"/>
    <n v="9463"/>
    <s v="2024-03-25"/>
    <s v="Sumer Krishna"/>
    <x v="87"/>
    <x v="5"/>
    <s v="India"/>
    <s v="Online"/>
    <s v="Cash"/>
    <n v="37852"/>
  </r>
  <r>
    <x v="256"/>
    <s v="Camera"/>
    <n v="1"/>
    <n v="7103"/>
    <s v="2024-09-18"/>
    <s v="Renee Kaul"/>
    <x v="157"/>
    <x v="25"/>
    <s v="India"/>
    <s v="Direct"/>
    <s v="Debit Card"/>
    <n v="7103"/>
  </r>
  <r>
    <x v="257"/>
    <s v="E-Reader"/>
    <n v="4"/>
    <n v="2075"/>
    <s v="2024-02-07"/>
    <s v="Yashvi Acharya"/>
    <x v="44"/>
    <x v="2"/>
    <s v="India"/>
    <s v="Direct"/>
    <s v="Net Banking"/>
    <n v="8300"/>
  </r>
  <r>
    <x v="258"/>
    <s v="Printer"/>
    <n v="7"/>
    <n v="3966"/>
    <s v="2024-04-09"/>
    <s v="Jayant Madan"/>
    <x v="51"/>
    <x v="8"/>
    <s v="India"/>
    <s v="Online"/>
    <s v="Credit Card"/>
    <n v="27762"/>
  </r>
  <r>
    <x v="259"/>
    <s v="Tablet"/>
    <n v="2"/>
    <n v="14201"/>
    <s v="2024-05-17"/>
    <s v="Charvi Varghese"/>
    <x v="25"/>
    <x v="13"/>
    <s v="India"/>
    <s v="Store"/>
    <s v="Credit Card"/>
    <n v="28402"/>
  </r>
  <r>
    <x v="260"/>
    <s v="Camera"/>
    <n v="3"/>
    <n v="6090"/>
    <s v="2024-06-08"/>
    <s v="Ryan Kanda"/>
    <x v="0"/>
    <x v="6"/>
    <s v="India"/>
    <s v="Store"/>
    <s v="Net Banking"/>
    <n v="18270"/>
  </r>
  <r>
    <x v="261"/>
    <s v="Camera"/>
    <n v="5"/>
    <n v="5715"/>
    <s v="2024-02-05"/>
    <s v="Ahana  Jain"/>
    <x v="104"/>
    <x v="24"/>
    <s v="India"/>
    <s v="Store"/>
    <s v="Cash"/>
    <n v="28575"/>
  </r>
  <r>
    <x v="262"/>
    <s v="Printer"/>
    <n v="2"/>
    <n v="17679"/>
    <s v="2024-01-27"/>
    <s v="Drishya Kara"/>
    <x v="178"/>
    <x v="1"/>
    <s v="India"/>
    <s v="Store"/>
    <s v="Debit Card"/>
    <n v="35358"/>
  </r>
  <r>
    <x v="263"/>
    <s v="Smartwatch"/>
    <n v="4"/>
    <n v="17168"/>
    <s v="2024-01-25"/>
    <s v="Aayush Choudhary"/>
    <x v="179"/>
    <x v="26"/>
    <s v="India"/>
    <s v="Direct"/>
    <s v="Net Banking"/>
    <n v="68672"/>
  </r>
  <r>
    <x v="264"/>
    <s v="Laptop"/>
    <n v="3"/>
    <n v="9949"/>
    <s v="2024-01-28"/>
    <s v="Faiyaz Ahuja"/>
    <x v="40"/>
    <x v="16"/>
    <s v="India"/>
    <s v="Online"/>
    <s v="Credit Card"/>
    <n v="29847"/>
  </r>
  <r>
    <x v="265"/>
    <s v="Camera"/>
    <n v="5"/>
    <n v="5878"/>
    <s v="2024-01-27"/>
    <s v="Prerak Kohli"/>
    <x v="154"/>
    <x v="19"/>
    <s v="India"/>
    <s v="Direct"/>
    <s v="Net Banking"/>
    <n v="29390"/>
  </r>
  <r>
    <x v="266"/>
    <s v="Laptop"/>
    <n v="8"/>
    <n v="6356"/>
    <s v="2023-10-12"/>
    <s v="Shamik Kaul"/>
    <x v="2"/>
    <x v="5"/>
    <s v="India"/>
    <s v="Direct"/>
    <s v="Credit Card"/>
    <n v="50848"/>
  </r>
  <r>
    <x v="267"/>
    <s v="Headphones"/>
    <n v="5"/>
    <n v="16851"/>
    <s v="2024-08-17"/>
    <s v="Umang Handa"/>
    <x v="180"/>
    <x v="17"/>
    <s v="India"/>
    <s v="Online"/>
    <s v="Credit Card"/>
    <n v="84255"/>
  </r>
  <r>
    <x v="268"/>
    <s v="External Hard Drive"/>
    <n v="5"/>
    <n v="5216"/>
    <s v="2023-11-23"/>
    <s v="Shaan Chhabra"/>
    <x v="104"/>
    <x v="21"/>
    <s v="India"/>
    <s v="Store"/>
    <s v="Credit Card"/>
    <n v="26080"/>
  </r>
  <r>
    <x v="269"/>
    <s v="Smartphone"/>
    <n v="2"/>
    <n v="4430"/>
    <s v="2023-12-29"/>
    <s v="Zara Sen"/>
    <x v="181"/>
    <x v="18"/>
    <s v="India"/>
    <s v="Store"/>
    <s v="UPI"/>
    <n v="8860"/>
  </r>
  <r>
    <x v="270"/>
    <s v="Smartphone"/>
    <n v="3"/>
    <n v="10856"/>
    <s v="2024-03-29"/>
    <s v="Miraan Gala"/>
    <x v="175"/>
    <x v="7"/>
    <s v="India"/>
    <s v="Online"/>
    <s v="Debit Card"/>
    <n v="32568"/>
  </r>
  <r>
    <x v="271"/>
    <s v="Smartphone"/>
    <n v="8"/>
    <n v="11483"/>
    <s v="2024-06-01"/>
    <s v="Darshit Singhal"/>
    <x v="88"/>
    <x v="14"/>
    <s v="India"/>
    <s v="Direct"/>
    <s v="UPI"/>
    <n v="91864"/>
  </r>
  <r>
    <x v="272"/>
    <s v="Desktop PC"/>
    <n v="3"/>
    <n v="11435"/>
    <s v="2024-09-20"/>
    <s v="Advika Mandal"/>
    <x v="94"/>
    <x v="13"/>
    <s v="India"/>
    <s v="Store"/>
    <s v="Credit Card"/>
    <n v="34305"/>
  </r>
  <r>
    <x v="273"/>
    <s v="Smartphone"/>
    <n v="4"/>
    <n v="7000"/>
    <s v="2023-12-22"/>
    <s v="Vihaan Ramachandran"/>
    <x v="48"/>
    <x v="26"/>
    <s v="India"/>
    <s v="Online"/>
    <s v="Net Banking"/>
    <n v="28000"/>
  </r>
  <r>
    <x v="274"/>
    <s v="Tablet"/>
    <n v="8"/>
    <n v="8438"/>
    <s v="2024-01-20"/>
    <s v="Nayantara Bail"/>
    <x v="182"/>
    <x v="10"/>
    <s v="India"/>
    <s v="Online"/>
    <s v="Debit Card"/>
    <n v="67504"/>
  </r>
  <r>
    <x v="275"/>
    <s v="Desktop PC"/>
    <n v="7"/>
    <n v="3588"/>
    <s v="2024-05-12"/>
    <s v="Alisha Arya"/>
    <x v="182"/>
    <x v="13"/>
    <s v="India"/>
    <s v="Store"/>
    <s v="Cash"/>
    <n v="25116"/>
  </r>
  <r>
    <x v="276"/>
    <s v="Desktop PC"/>
    <n v="7"/>
    <n v="17679"/>
    <s v="2024-01-19"/>
    <s v="Kiaan Krish"/>
    <x v="183"/>
    <x v="4"/>
    <s v="India"/>
    <s v="Online"/>
    <s v="Cash"/>
    <n v="123753"/>
  </r>
  <r>
    <x v="277"/>
    <s v="Tablet"/>
    <n v="3"/>
    <n v="13157"/>
    <s v="2024-06-29"/>
    <s v="Yashvi Ben"/>
    <x v="147"/>
    <x v="0"/>
    <s v="India"/>
    <s v="Direct"/>
    <s v="Net Banking"/>
    <n v="39471"/>
  </r>
  <r>
    <x v="278"/>
    <s v="Camera"/>
    <n v="4"/>
    <n v="10947"/>
    <s v="2024-03-20"/>
    <s v="Prisha Sachdeva"/>
    <x v="129"/>
    <x v="3"/>
    <s v="India"/>
    <s v="Direct"/>
    <s v="Net Banking"/>
    <n v="43788"/>
  </r>
  <r>
    <x v="279"/>
    <s v="Headphones"/>
    <n v="7"/>
    <n v="16539"/>
    <s v="2023-11-05"/>
    <s v="Amira Comar"/>
    <x v="184"/>
    <x v="14"/>
    <s v="India"/>
    <s v="Online"/>
    <s v="UPI"/>
    <n v="115773"/>
  </r>
  <r>
    <x v="280"/>
    <s v="Smartwatch"/>
    <n v="1"/>
    <n v="12975"/>
    <s v="2023-12-24"/>
    <s v="Stuvan Behl"/>
    <x v="119"/>
    <x v="22"/>
    <s v="India"/>
    <s v="Store"/>
    <s v="Credit Card"/>
    <n v="12975"/>
  </r>
  <r>
    <x v="281"/>
    <s v="Smartwatch"/>
    <n v="9"/>
    <n v="18694"/>
    <s v="2023-12-02"/>
    <s v="Jhanvi Kata"/>
    <x v="185"/>
    <x v="14"/>
    <s v="India"/>
    <s v="Store"/>
    <s v="Net Banking"/>
    <n v="168246"/>
  </r>
  <r>
    <x v="282"/>
    <s v="Laptop"/>
    <n v="1"/>
    <n v="18243"/>
    <s v="2024-03-31"/>
    <s v="Farhan Grover"/>
    <x v="0"/>
    <x v="20"/>
    <s v="India"/>
    <s v="Store"/>
    <s v="Cash"/>
    <n v="18243"/>
  </r>
  <r>
    <x v="283"/>
    <s v="Smartphone"/>
    <n v="8"/>
    <n v="15747"/>
    <s v="2023-10-17"/>
    <s v="Suhana Rau"/>
    <x v="186"/>
    <x v="11"/>
    <s v="India"/>
    <s v="Direct"/>
    <s v="Cash"/>
    <n v="125976"/>
  </r>
  <r>
    <x v="284"/>
    <s v="Smartphone"/>
    <n v="7"/>
    <n v="17443"/>
    <s v="2024-02-21"/>
    <s v="Samarth Sampath"/>
    <x v="141"/>
    <x v="0"/>
    <s v="India"/>
    <s v="Store"/>
    <s v="Debit Card"/>
    <n v="122101"/>
  </r>
  <r>
    <x v="285"/>
    <s v="External Hard Drive"/>
    <n v="6"/>
    <n v="18685"/>
    <s v="2024-06-13"/>
    <s v="Prerak Koshy"/>
    <x v="103"/>
    <x v="18"/>
    <s v="India"/>
    <s v="Store"/>
    <s v="Debit Card"/>
    <n v="112110"/>
  </r>
  <r>
    <x v="286"/>
    <s v="E-Reader"/>
    <n v="7"/>
    <n v="17727"/>
    <s v="2024-02-02"/>
    <s v="Alia Chakrabarti"/>
    <x v="83"/>
    <x v="20"/>
    <s v="India"/>
    <s v="Store"/>
    <s v="Credit Card"/>
    <n v="124089"/>
  </r>
  <r>
    <x v="287"/>
    <s v="E-Reader"/>
    <n v="6"/>
    <n v="3339"/>
    <s v="2023-11-09"/>
    <s v="Aradhya Gokhale"/>
    <x v="51"/>
    <x v="26"/>
    <s v="India"/>
    <s v="Store"/>
    <s v="Net Banking"/>
    <n v="20034"/>
  </r>
  <r>
    <x v="288"/>
    <s v="Tablet"/>
    <n v="3"/>
    <n v="19562"/>
    <s v="2024-05-19"/>
    <s v="Lakshit Ravi"/>
    <x v="58"/>
    <x v="24"/>
    <s v="India"/>
    <s v="Store"/>
    <s v="Net Banking"/>
    <n v="58686"/>
  </r>
  <r>
    <x v="289"/>
    <s v="Laptop"/>
    <n v="8"/>
    <n v="5704"/>
    <s v="2023-11-08"/>
    <s v="Rania Joshi"/>
    <x v="187"/>
    <x v="13"/>
    <s v="India"/>
    <s v="Store"/>
    <s v="Cash"/>
    <n v="45632"/>
  </r>
  <r>
    <x v="290"/>
    <s v="Printer"/>
    <n v="2"/>
    <n v="7774"/>
    <s v="2024-03-02"/>
    <s v="Dishani Verma"/>
    <x v="176"/>
    <x v="16"/>
    <s v="India"/>
    <s v="Store"/>
    <s v="UPI"/>
    <n v="15548"/>
  </r>
  <r>
    <x v="291"/>
    <s v="Smartphone"/>
    <n v="3"/>
    <n v="2513"/>
    <s v="2023-12-20"/>
    <s v="Shray Sarraf"/>
    <x v="188"/>
    <x v="0"/>
    <s v="India"/>
    <s v="Store"/>
    <s v="UPI"/>
    <n v="7539"/>
  </r>
  <r>
    <x v="292"/>
    <s v="Camera"/>
    <n v="3"/>
    <n v="5574"/>
    <s v="2024-02-16"/>
    <s v="Samarth Das"/>
    <x v="189"/>
    <x v="3"/>
    <s v="India"/>
    <s v="Direct"/>
    <s v="Debit Card"/>
    <n v="16722"/>
  </r>
  <r>
    <x v="293"/>
    <s v="Camera"/>
    <n v="6"/>
    <n v="16767"/>
    <s v="2024-09-12"/>
    <s v="Renee Arora"/>
    <x v="190"/>
    <x v="15"/>
    <s v="India"/>
    <s v="Direct"/>
    <s v="UPI"/>
    <n v="100602"/>
  </r>
  <r>
    <x v="294"/>
    <s v="External Hard Drive"/>
    <n v="7"/>
    <n v="9548"/>
    <s v="2024-04-23"/>
    <s v="Farhan Anne"/>
    <x v="191"/>
    <x v="8"/>
    <s v="India"/>
    <s v="Store"/>
    <s v="Debit Card"/>
    <n v="66836"/>
  </r>
  <r>
    <x v="295"/>
    <s v="Headphones"/>
    <n v="5"/>
    <n v="13382"/>
    <s v="2024-04-09"/>
    <s v="Kaira Chakrabarti"/>
    <x v="144"/>
    <x v="20"/>
    <s v="India"/>
    <s v="Direct"/>
    <s v="UPI"/>
    <n v="66910"/>
  </r>
  <r>
    <x v="296"/>
    <s v="Laptop"/>
    <n v="3"/>
    <n v="10004"/>
    <s v="2024-03-22"/>
    <s v="Adah Chada"/>
    <x v="125"/>
    <x v="18"/>
    <s v="India"/>
    <s v="Direct"/>
    <s v="Credit Card"/>
    <n v="30012"/>
  </r>
  <r>
    <x v="297"/>
    <s v="Printer"/>
    <n v="3"/>
    <n v="19610"/>
    <s v="2024-01-31"/>
    <s v="Bhamini Seth"/>
    <x v="192"/>
    <x v="22"/>
    <s v="India"/>
    <s v="Direct"/>
    <s v="Cash"/>
    <n v="58830"/>
  </r>
  <r>
    <x v="298"/>
    <s v="Smartphone"/>
    <n v="2"/>
    <n v="2106"/>
    <s v="2024-05-12"/>
    <s v="Kaira Kar"/>
    <x v="108"/>
    <x v="13"/>
    <s v="India"/>
    <s v="Store"/>
    <s v="Net Banking"/>
    <n v="4212"/>
  </r>
  <r>
    <x v="299"/>
    <s v="E-Reader"/>
    <n v="1"/>
    <n v="9659"/>
    <s v="2023-12-31"/>
    <s v="Aayush Halder"/>
    <x v="149"/>
    <x v="25"/>
    <s v="India"/>
    <s v="Direct"/>
    <s v="Cash"/>
    <n v="9659"/>
  </r>
  <r>
    <x v="300"/>
    <s v="Laptop"/>
    <n v="1"/>
    <n v="15918"/>
    <s v="2024-05-23"/>
    <s v="Misha Vora"/>
    <x v="97"/>
    <x v="1"/>
    <s v="India"/>
    <s v="Direct"/>
    <s v="Net Banking"/>
    <n v="15918"/>
  </r>
  <r>
    <x v="301"/>
    <s v="Smartwatch"/>
    <n v="3"/>
    <n v="6352"/>
    <s v="2024-09-07"/>
    <s v="Kismat Choudhary"/>
    <x v="84"/>
    <x v="14"/>
    <s v="India"/>
    <s v="Direct"/>
    <s v="Credit Card"/>
    <n v="19056"/>
  </r>
  <r>
    <x v="302"/>
    <s v="Laptop"/>
    <n v="9"/>
    <n v="11809"/>
    <s v="2024-08-06"/>
    <s v="Sumer Bala"/>
    <x v="193"/>
    <x v="15"/>
    <s v="India"/>
    <s v="Direct"/>
    <s v="UPI"/>
    <n v="106281"/>
  </r>
  <r>
    <x v="303"/>
    <s v="Smartwatch"/>
    <n v="4"/>
    <n v="17147"/>
    <s v="2024-06-08"/>
    <s v="Prerak Bala"/>
    <x v="194"/>
    <x v="22"/>
    <s v="India"/>
    <s v="Store"/>
    <s v="Credit Card"/>
    <n v="68588"/>
  </r>
  <r>
    <x v="304"/>
    <s v="Tablet"/>
    <n v="1"/>
    <n v="7046"/>
    <s v="2024-09-12"/>
    <s v="Zaina Char"/>
    <x v="85"/>
    <x v="21"/>
    <s v="India"/>
    <s v="Direct"/>
    <s v="Credit Card"/>
    <n v="7046"/>
  </r>
  <r>
    <x v="305"/>
    <s v="Headphones"/>
    <n v="9"/>
    <n v="10982"/>
    <s v="2024-06-01"/>
    <s v="Aaryahi Rege"/>
    <x v="150"/>
    <x v="25"/>
    <s v="India"/>
    <s v="Online"/>
    <s v="Cash"/>
    <n v="98838"/>
  </r>
  <r>
    <x v="306"/>
    <s v="Camera"/>
    <n v="9"/>
    <n v="17135"/>
    <s v="2023-12-21"/>
    <s v="Ivan Kala"/>
    <x v="195"/>
    <x v="18"/>
    <s v="India"/>
    <s v="Online"/>
    <s v="Credit Card"/>
    <n v="154215"/>
  </r>
  <r>
    <x v="307"/>
    <s v="Tablet"/>
    <n v="2"/>
    <n v="14660"/>
    <s v="2023-10-13"/>
    <s v="Zeeshan Sane"/>
    <x v="174"/>
    <x v="5"/>
    <s v="India"/>
    <s v="Online"/>
    <s v="Cash"/>
    <n v="29320"/>
  </r>
  <r>
    <x v="308"/>
    <s v="Headphones"/>
    <n v="1"/>
    <n v="17394"/>
    <s v="2023-10-09"/>
    <s v="Heer Shenoy"/>
    <x v="196"/>
    <x v="7"/>
    <s v="India"/>
    <s v="Online"/>
    <s v="Debit Card"/>
    <n v="17394"/>
  </r>
  <r>
    <x v="309"/>
    <s v="Camera"/>
    <n v="6"/>
    <n v="5396"/>
    <s v="2024-02-20"/>
    <s v="Shalv Raval"/>
    <x v="179"/>
    <x v="14"/>
    <s v="India"/>
    <s v="Direct"/>
    <s v="Cash"/>
    <n v="32376"/>
  </r>
  <r>
    <x v="310"/>
    <s v="Tablet"/>
    <n v="9"/>
    <n v="5962"/>
    <s v="2023-10-25"/>
    <s v="Azad Rajan"/>
    <x v="54"/>
    <x v="5"/>
    <s v="India"/>
    <s v="Store"/>
    <s v="Cash"/>
    <n v="53658"/>
  </r>
  <r>
    <x v="311"/>
    <s v="External Hard Drive"/>
    <n v="3"/>
    <n v="19214"/>
    <s v="2024-02-29"/>
    <s v="Kiaan Tak"/>
    <x v="197"/>
    <x v="14"/>
    <s v="India"/>
    <s v="Online"/>
    <s v="Net Banking"/>
    <n v="57642"/>
  </r>
  <r>
    <x v="312"/>
    <s v="External Hard Drive"/>
    <n v="4"/>
    <n v="5876"/>
    <s v="2024-09-06"/>
    <s v="Krish Sachdeva"/>
    <x v="198"/>
    <x v="6"/>
    <s v="India"/>
    <s v="Online"/>
    <s v="Net Banking"/>
    <n v="23504"/>
  </r>
  <r>
    <x v="313"/>
    <s v="External Hard Drive"/>
    <n v="6"/>
    <n v="10913"/>
    <s v="2024-01-08"/>
    <s v="Jayesh Shenoy"/>
    <x v="89"/>
    <x v="2"/>
    <s v="India"/>
    <s v="Online"/>
    <s v="UPI"/>
    <n v="65478"/>
  </r>
  <r>
    <x v="314"/>
    <s v="Tablet"/>
    <n v="4"/>
    <n v="12480"/>
    <s v="2023-12-17"/>
    <s v="Kavya Deo"/>
    <x v="53"/>
    <x v="3"/>
    <s v="India"/>
    <s v="Direct"/>
    <s v="Net Banking"/>
    <n v="49920"/>
  </r>
  <r>
    <x v="315"/>
    <s v="Laptop"/>
    <n v="9"/>
    <n v="17727"/>
    <s v="2024-03-05"/>
    <s v="Nehmat Singh"/>
    <x v="122"/>
    <x v="10"/>
    <s v="India"/>
    <s v="Store"/>
    <s v="Cash"/>
    <n v="159543"/>
  </r>
  <r>
    <x v="316"/>
    <s v="Laptop"/>
    <n v="7"/>
    <n v="10390"/>
    <s v="2024-02-07"/>
    <s v="Arhaan Barad"/>
    <x v="118"/>
    <x v="0"/>
    <s v="India"/>
    <s v="Store"/>
    <s v="Cash"/>
    <n v="72730"/>
  </r>
  <r>
    <x v="317"/>
    <s v="Camera"/>
    <n v="5"/>
    <n v="5504"/>
    <s v="2024-03-25"/>
    <s v="Miraan Bahl"/>
    <x v="197"/>
    <x v="18"/>
    <s v="India"/>
    <s v="Direct"/>
    <s v="UPI"/>
    <n v="27520"/>
  </r>
  <r>
    <x v="318"/>
    <s v="Laptop"/>
    <n v="7"/>
    <n v="4441"/>
    <s v="2024-08-24"/>
    <s v="Damini Sani"/>
    <x v="34"/>
    <x v="25"/>
    <s v="India"/>
    <s v="Online"/>
    <s v="Net Banking"/>
    <n v="31087"/>
  </r>
  <r>
    <x v="319"/>
    <s v="Smartphone"/>
    <n v="4"/>
    <n v="2469"/>
    <s v="2024-08-12"/>
    <s v="Tarini Saha"/>
    <x v="199"/>
    <x v="18"/>
    <s v="India"/>
    <s v="Online"/>
    <s v="Debit Card"/>
    <n v="9876"/>
  </r>
  <r>
    <x v="320"/>
    <s v="Smartwatch"/>
    <n v="7"/>
    <n v="16857"/>
    <s v="2024-09-05"/>
    <s v="Taran Das"/>
    <x v="200"/>
    <x v="16"/>
    <s v="India"/>
    <s v="Store"/>
    <s v="Cash"/>
    <n v="117999"/>
  </r>
  <r>
    <x v="321"/>
    <s v="Printer"/>
    <n v="3"/>
    <n v="9160"/>
    <s v="2024-08-19"/>
    <s v="Divyansh Rana"/>
    <x v="201"/>
    <x v="8"/>
    <s v="India"/>
    <s v="Online"/>
    <s v="Net Banking"/>
    <n v="27480"/>
  </r>
  <r>
    <x v="322"/>
    <s v="Laptop"/>
    <n v="7"/>
    <n v="3188"/>
    <s v="2023-10-03"/>
    <s v="Piya Divan"/>
    <x v="86"/>
    <x v="26"/>
    <s v="India"/>
    <s v="Online"/>
    <s v="Net Banking"/>
    <n v="22316"/>
  </r>
  <r>
    <x v="323"/>
    <s v="Smartwatch"/>
    <n v="6"/>
    <n v="10476"/>
    <s v="2024-08-16"/>
    <s v="Amani Kale"/>
    <x v="92"/>
    <x v="8"/>
    <s v="India"/>
    <s v="Direct"/>
    <s v="Net Banking"/>
    <n v="62856"/>
  </r>
  <r>
    <x v="324"/>
    <s v="Smartwatch"/>
    <n v="6"/>
    <n v="17424"/>
    <s v="2024-06-05"/>
    <s v="Rania Sahota"/>
    <x v="59"/>
    <x v="15"/>
    <s v="India"/>
    <s v="Store"/>
    <s v="UPI"/>
    <n v="104544"/>
  </r>
  <r>
    <x v="325"/>
    <s v="Headphones"/>
    <n v="5"/>
    <n v="19354"/>
    <s v="2024-03-22"/>
    <s v="Farhan Ghosh"/>
    <x v="202"/>
    <x v="7"/>
    <s v="India"/>
    <s v="Store"/>
    <s v="Cash"/>
    <n v="96770"/>
  </r>
  <r>
    <x v="326"/>
    <s v="Printer"/>
    <n v="7"/>
    <n v="15180"/>
    <s v="2023-11-10"/>
    <s v="Yuvaan Bava"/>
    <x v="203"/>
    <x v="27"/>
    <s v="India"/>
    <s v="Online"/>
    <s v="Net Banking"/>
    <n v="106260"/>
  </r>
  <r>
    <x v="327"/>
    <s v="External Hard Drive"/>
    <n v="6"/>
    <n v="4469"/>
    <s v="2023-12-09"/>
    <s v="Khushi Chanda"/>
    <x v="35"/>
    <x v="10"/>
    <s v="India"/>
    <s v="Direct"/>
    <s v="Debit Card"/>
    <n v="26814"/>
  </r>
  <r>
    <x v="328"/>
    <s v="E-Reader"/>
    <n v="2"/>
    <n v="9255"/>
    <s v="2024-05-06"/>
    <s v="Shlok Ben"/>
    <x v="204"/>
    <x v="1"/>
    <s v="India"/>
    <s v="Store"/>
    <s v="UPI"/>
    <n v="18510"/>
  </r>
  <r>
    <x v="329"/>
    <s v="Laptop"/>
    <n v="4"/>
    <n v="3758"/>
    <s v="2024-03-12"/>
    <s v="Sahil Goswami"/>
    <x v="144"/>
    <x v="17"/>
    <s v="India"/>
    <s v="Store"/>
    <s v="Cash"/>
    <n v="15032"/>
  </r>
  <r>
    <x v="330"/>
    <s v="External Hard Drive"/>
    <n v="4"/>
    <n v="6049"/>
    <s v="2024-07-04"/>
    <s v="Kaira Chopra"/>
    <x v="205"/>
    <x v="6"/>
    <s v="India"/>
    <s v="Direct"/>
    <s v="UPI"/>
    <n v="24196"/>
  </r>
  <r>
    <x v="331"/>
    <s v="E-Reader"/>
    <n v="9"/>
    <n v="18495"/>
    <s v="2024-09-14"/>
    <s v="Mishti Sarraf"/>
    <x v="78"/>
    <x v="14"/>
    <s v="India"/>
    <s v="Online"/>
    <s v="UPI"/>
    <n v="166455"/>
  </r>
  <r>
    <x v="332"/>
    <s v="Tablet"/>
    <n v="6"/>
    <n v="16306"/>
    <s v="2024-03-11"/>
    <s v="Azad Master"/>
    <x v="206"/>
    <x v="21"/>
    <s v="India"/>
    <s v="Store"/>
    <s v="UPI"/>
    <n v="97836"/>
  </r>
  <r>
    <x v="333"/>
    <s v="Smartwatch"/>
    <n v="6"/>
    <n v="8992"/>
    <s v="2023-11-02"/>
    <s v="Kimaya Chawla"/>
    <x v="27"/>
    <x v="19"/>
    <s v="India"/>
    <s v="Online"/>
    <s v="Net Banking"/>
    <n v="53952"/>
  </r>
  <r>
    <x v="334"/>
    <s v="Printer"/>
    <n v="7"/>
    <n v="3779"/>
    <s v="2023-12-31"/>
    <s v="Darshit Roy"/>
    <x v="207"/>
    <x v="6"/>
    <s v="India"/>
    <s v="Online"/>
    <s v="Net Banking"/>
    <n v="26453"/>
  </r>
  <r>
    <x v="335"/>
    <s v="External Hard Drive"/>
    <n v="1"/>
    <n v="6690"/>
    <s v="2024-09-23"/>
    <s v="Alia Sule"/>
    <x v="45"/>
    <x v="9"/>
    <s v="India"/>
    <s v="Online"/>
    <s v="Net Banking"/>
    <n v="6690"/>
  </r>
  <r>
    <x v="336"/>
    <s v="Tablet"/>
    <n v="8"/>
    <n v="4538"/>
    <s v="2023-11-06"/>
    <s v="Mannat Karnik"/>
    <x v="114"/>
    <x v="9"/>
    <s v="India"/>
    <s v="Online"/>
    <s v="UPI"/>
    <n v="36304"/>
  </r>
  <r>
    <x v="337"/>
    <s v="Tablet"/>
    <n v="6"/>
    <n v="14316"/>
    <s v="2024-06-06"/>
    <s v="Faiyaz Ahuja"/>
    <x v="51"/>
    <x v="17"/>
    <s v="India"/>
    <s v="Store"/>
    <s v="Credit Card"/>
    <n v="85896"/>
  </r>
  <r>
    <x v="338"/>
    <s v="External Hard Drive"/>
    <n v="2"/>
    <n v="3827"/>
    <s v="2024-04-15"/>
    <s v="Pari Bhatt"/>
    <x v="208"/>
    <x v="10"/>
    <s v="India"/>
    <s v="Online"/>
    <s v="Debit Card"/>
    <n v="7654"/>
  </r>
  <r>
    <x v="339"/>
    <s v="Smartwatch"/>
    <n v="6"/>
    <n v="14058"/>
    <s v="2024-01-09"/>
    <s v="Anay Chandran"/>
    <x v="209"/>
    <x v="15"/>
    <s v="India"/>
    <s v="Direct"/>
    <s v="UPI"/>
    <n v="84348"/>
  </r>
  <r>
    <x v="340"/>
    <s v="Printer"/>
    <n v="7"/>
    <n v="5441"/>
    <s v="2023-10-14"/>
    <s v="Kavya Karpe"/>
    <x v="210"/>
    <x v="21"/>
    <s v="India"/>
    <s v="Store"/>
    <s v="Cash"/>
    <n v="38087"/>
  </r>
  <r>
    <x v="341"/>
    <s v="Desktop PC"/>
    <n v="7"/>
    <n v="7479"/>
    <s v="2023-11-03"/>
    <s v="Farhan Gokhale"/>
    <x v="211"/>
    <x v="27"/>
    <s v="India"/>
    <s v="Store"/>
    <s v="Cash"/>
    <n v="52353"/>
  </r>
  <r>
    <x v="342"/>
    <s v="Headphones"/>
    <n v="9"/>
    <n v="7674"/>
    <s v="2023-11-16"/>
    <s v="Dhanuk Shenoy"/>
    <x v="212"/>
    <x v="24"/>
    <s v="India"/>
    <s v="Online"/>
    <s v="Cash"/>
    <n v="69066"/>
  </r>
  <r>
    <x v="343"/>
    <s v="Headphones"/>
    <n v="8"/>
    <n v="11299"/>
    <s v="2024-09-03"/>
    <s v="Aarush Lalla"/>
    <x v="3"/>
    <x v="1"/>
    <s v="India"/>
    <s v="Store"/>
    <s v="Credit Card"/>
    <n v="90392"/>
  </r>
  <r>
    <x v="344"/>
    <s v="Printer"/>
    <n v="6"/>
    <n v="13466"/>
    <s v="2024-06-11"/>
    <s v="Hridaan Swamy"/>
    <x v="213"/>
    <x v="24"/>
    <s v="India"/>
    <s v="Store"/>
    <s v="UPI"/>
    <n v="80796"/>
  </r>
  <r>
    <x v="345"/>
    <s v="Desktop PC"/>
    <n v="4"/>
    <n v="19627"/>
    <s v="2024-03-24"/>
    <s v="Navya Balasubramanian"/>
    <x v="214"/>
    <x v="8"/>
    <s v="India"/>
    <s v="Direct"/>
    <s v="Cash"/>
    <n v="78508"/>
  </r>
  <r>
    <x v="346"/>
    <s v="Smartphone"/>
    <n v="3"/>
    <n v="6835"/>
    <s v="2024-06-12"/>
    <s v="Arhaan Korpal"/>
    <x v="215"/>
    <x v="18"/>
    <s v="India"/>
    <s v="Store"/>
    <s v="Debit Card"/>
    <n v="20505"/>
  </r>
  <r>
    <x v="347"/>
    <s v="External Hard Drive"/>
    <n v="4"/>
    <n v="17179"/>
    <s v="2024-03-25"/>
    <s v="Samiha Kunda"/>
    <x v="104"/>
    <x v="0"/>
    <s v="India"/>
    <s v="Online"/>
    <s v="Cash"/>
    <n v="68716"/>
  </r>
  <r>
    <x v="348"/>
    <s v="Printer"/>
    <n v="3"/>
    <n v="14019"/>
    <s v="2023-09-26"/>
    <s v="Shayak Sawhney"/>
    <x v="83"/>
    <x v="15"/>
    <s v="India"/>
    <s v="Online"/>
    <s v="Cash"/>
    <n v="42057"/>
  </r>
  <r>
    <x v="349"/>
    <s v="Smartwatch"/>
    <n v="6"/>
    <n v="5454"/>
    <s v="2024-02-04"/>
    <s v="Aarna Chaudry"/>
    <x v="31"/>
    <x v="20"/>
    <s v="India"/>
    <s v="Online"/>
    <s v="Debit Card"/>
    <n v="32724"/>
  </r>
  <r>
    <x v="350"/>
    <s v="Printer"/>
    <n v="5"/>
    <n v="7945"/>
    <s v="2024-01-31"/>
    <s v="Yasmin Guha"/>
    <x v="213"/>
    <x v="0"/>
    <s v="India"/>
    <s v="Direct"/>
    <s v="UPI"/>
    <n v="39725"/>
  </r>
  <r>
    <x v="351"/>
    <s v="Headphones"/>
    <n v="2"/>
    <n v="5901"/>
    <s v="2023-12-15"/>
    <s v="Veer Chhabra"/>
    <x v="13"/>
    <x v="21"/>
    <s v="India"/>
    <s v="Online"/>
    <s v="UPI"/>
    <n v="11802"/>
  </r>
  <r>
    <x v="352"/>
    <s v="Smartphone"/>
    <n v="6"/>
    <n v="5881"/>
    <s v="2023-09-25"/>
    <s v="Azad Dey"/>
    <x v="20"/>
    <x v="8"/>
    <s v="India"/>
    <s v="Direct"/>
    <s v="Net Banking"/>
    <n v="35286"/>
  </r>
  <r>
    <x v="353"/>
    <s v="Smartwatch"/>
    <n v="9"/>
    <n v="9831"/>
    <s v="2024-09-09"/>
    <s v="Jiya Dara"/>
    <x v="104"/>
    <x v="8"/>
    <s v="India"/>
    <s v="Store"/>
    <s v="Cash"/>
    <n v="88479"/>
  </r>
  <r>
    <x v="354"/>
    <s v="Laptop"/>
    <n v="4"/>
    <n v="4792"/>
    <s v="2023-12-13"/>
    <s v="Nakul Bora"/>
    <x v="185"/>
    <x v="9"/>
    <s v="India"/>
    <s v="Store"/>
    <s v="UPI"/>
    <n v="19168"/>
  </r>
  <r>
    <x v="355"/>
    <s v="Headphones"/>
    <n v="6"/>
    <n v="7940"/>
    <s v="2023-12-18"/>
    <s v="Sara Din"/>
    <x v="68"/>
    <x v="7"/>
    <s v="India"/>
    <s v="Direct"/>
    <s v="Net Banking"/>
    <n v="47640"/>
  </r>
  <r>
    <x v="356"/>
    <s v="Camera"/>
    <n v="9"/>
    <n v="2279"/>
    <s v="2024-03-16"/>
    <s v="Baiju Gala"/>
    <x v="19"/>
    <x v="8"/>
    <s v="India"/>
    <s v="Direct"/>
    <s v="Cash"/>
    <n v="20511"/>
  </r>
  <r>
    <x v="357"/>
    <s v="Printer"/>
    <n v="5"/>
    <n v="11338"/>
    <s v="2024-03-10"/>
    <s v="Uthkarsh Som"/>
    <x v="194"/>
    <x v="3"/>
    <s v="India"/>
    <s v="Direct"/>
    <s v="Debit Card"/>
    <n v="56690"/>
  </r>
  <r>
    <x v="358"/>
    <s v="Desktop PC"/>
    <n v="2"/>
    <n v="13817"/>
    <s v="2024-03-04"/>
    <s v="Drishya Iyengar"/>
    <x v="197"/>
    <x v="18"/>
    <s v="India"/>
    <s v="Direct"/>
    <s v="UPI"/>
    <n v="27634"/>
  </r>
  <r>
    <x v="359"/>
    <s v="Headphones"/>
    <n v="8"/>
    <n v="15116"/>
    <s v="2023-11-18"/>
    <s v="Tara Maharaj"/>
    <x v="115"/>
    <x v="0"/>
    <s v="India"/>
    <s v="Direct"/>
    <s v="Cash"/>
    <n v="120928"/>
  </r>
  <r>
    <x v="360"/>
    <s v="Laptop"/>
    <n v="9"/>
    <n v="2815"/>
    <s v="2023-12-24"/>
    <s v="Vardaniya Thaman"/>
    <x v="216"/>
    <x v="15"/>
    <s v="India"/>
    <s v="Online"/>
    <s v="Cash"/>
    <n v="25335"/>
  </r>
  <r>
    <x v="361"/>
    <s v="Tablet"/>
    <n v="2"/>
    <n v="11871"/>
    <s v="2023-11-28"/>
    <s v="Nishith Shah"/>
    <x v="132"/>
    <x v="26"/>
    <s v="India"/>
    <s v="Direct"/>
    <s v="Debit Card"/>
    <n v="23742"/>
  </r>
  <r>
    <x v="362"/>
    <s v="Headphones"/>
    <n v="3"/>
    <n v="8081"/>
    <s v="2023-10-15"/>
    <s v="Dishani Shan"/>
    <x v="11"/>
    <x v="3"/>
    <s v="India"/>
    <s v="Direct"/>
    <s v="Cash"/>
    <n v="24243"/>
  </r>
  <r>
    <x v="363"/>
    <s v="Printer"/>
    <n v="2"/>
    <n v="4654"/>
    <s v="2023-11-29"/>
    <s v="Jiya Shukla"/>
    <x v="158"/>
    <x v="22"/>
    <s v="India"/>
    <s v="Direct"/>
    <s v="Net Banking"/>
    <n v="9308"/>
  </r>
  <r>
    <x v="364"/>
    <s v="Camera"/>
    <n v="2"/>
    <n v="12213"/>
    <s v="2023-10-26"/>
    <s v="Nehmat Sahota"/>
    <x v="155"/>
    <x v="9"/>
    <s v="India"/>
    <s v="Online"/>
    <s v="Debit Card"/>
    <n v="24426"/>
  </r>
  <r>
    <x v="365"/>
    <s v="External Hard Drive"/>
    <n v="8"/>
    <n v="19194"/>
    <s v="2024-08-09"/>
    <s v="Azad Luthra"/>
    <x v="217"/>
    <x v="11"/>
    <s v="India"/>
    <s v="Direct"/>
    <s v="Credit Card"/>
    <n v="153552"/>
  </r>
  <r>
    <x v="366"/>
    <s v="Laptop"/>
    <n v="6"/>
    <n v="2512"/>
    <s v="2024-09-17"/>
    <s v="Eshani Toor"/>
    <x v="176"/>
    <x v="10"/>
    <s v="India"/>
    <s v="Direct"/>
    <s v="Net Banking"/>
    <n v="15072"/>
  </r>
  <r>
    <x v="367"/>
    <s v="Smartwatch"/>
    <n v="1"/>
    <n v="6829"/>
    <s v="2024-03-22"/>
    <s v="Piya Jani"/>
    <x v="147"/>
    <x v="12"/>
    <s v="India"/>
    <s v="Store"/>
    <s v="Debit Card"/>
    <n v="6829"/>
  </r>
  <r>
    <x v="368"/>
    <s v="Smartwatch"/>
    <n v="5"/>
    <n v="5139"/>
    <s v="2023-12-17"/>
    <s v="Divit Sankaran"/>
    <x v="218"/>
    <x v="23"/>
    <s v="India"/>
    <s v="Online"/>
    <s v="Debit Card"/>
    <n v="25695"/>
  </r>
  <r>
    <x v="369"/>
    <s v="External Hard Drive"/>
    <n v="2"/>
    <n v="6383"/>
    <s v="2023-09-25"/>
    <s v="Jiya Sheth"/>
    <x v="101"/>
    <x v="11"/>
    <s v="India"/>
    <s v="Online"/>
    <s v="Credit Card"/>
    <n v="12766"/>
  </r>
  <r>
    <x v="370"/>
    <s v="Laptop"/>
    <n v="2"/>
    <n v="4845"/>
    <s v="2023-11-24"/>
    <s v="Rasha Rana"/>
    <x v="219"/>
    <x v="22"/>
    <s v="India"/>
    <s v="Online"/>
    <s v="Cash"/>
    <n v="9690"/>
  </r>
  <r>
    <x v="371"/>
    <s v="Headphones"/>
    <n v="7"/>
    <n v="8160"/>
    <s v="2023-09-29"/>
    <s v="Eshani Sawhney"/>
    <x v="220"/>
    <x v="20"/>
    <s v="India"/>
    <s v="Online"/>
    <s v="Cash"/>
    <n v="57120"/>
  </r>
  <r>
    <x v="372"/>
    <s v="Camera"/>
    <n v="7"/>
    <n v="13749"/>
    <s v="2024-04-05"/>
    <s v="Anahi Thaman"/>
    <x v="221"/>
    <x v="25"/>
    <s v="India"/>
    <s v="Direct"/>
    <s v="Cash"/>
    <n v="96243"/>
  </r>
  <r>
    <x v="373"/>
    <s v="Headphones"/>
    <n v="1"/>
    <n v="5409"/>
    <s v="2024-01-23"/>
    <s v="Faiyaz Gulati"/>
    <x v="133"/>
    <x v="3"/>
    <s v="India"/>
    <s v="Store"/>
    <s v="Debit Card"/>
    <n v="5409"/>
  </r>
  <r>
    <x v="374"/>
    <s v="Desktop PC"/>
    <n v="3"/>
    <n v="13063"/>
    <s v="2023-11-22"/>
    <s v="Ryan Hari"/>
    <x v="159"/>
    <x v="1"/>
    <s v="India"/>
    <s v="Online"/>
    <s v="Credit Card"/>
    <n v="39189"/>
  </r>
  <r>
    <x v="375"/>
    <s v="Laptop"/>
    <n v="4"/>
    <n v="6989"/>
    <s v="2023-11-17"/>
    <s v="Ishaan Sama"/>
    <x v="98"/>
    <x v="15"/>
    <s v="India"/>
    <s v="Direct"/>
    <s v="Cash"/>
    <n v="27956"/>
  </r>
  <r>
    <x v="376"/>
    <s v="External Hard Drive"/>
    <n v="8"/>
    <n v="11515"/>
    <s v="2024-04-19"/>
    <s v="Samaira Borra"/>
    <x v="114"/>
    <x v="5"/>
    <s v="India"/>
    <s v="Store"/>
    <s v="Credit Card"/>
    <n v="92120"/>
  </r>
  <r>
    <x v="377"/>
    <s v="Camera"/>
    <n v="3"/>
    <n v="8467"/>
    <s v="2023-11-29"/>
    <s v="Abram Dass"/>
    <x v="222"/>
    <x v="18"/>
    <s v="India"/>
    <s v="Online"/>
    <s v="Net Banking"/>
    <n v="25401"/>
  </r>
  <r>
    <x v="378"/>
    <s v="Printer"/>
    <n v="5"/>
    <n v="14820"/>
    <s v="2024-09-05"/>
    <s v="Vihaan Johal"/>
    <x v="148"/>
    <x v="18"/>
    <s v="India"/>
    <s v="Online"/>
    <s v="Debit Card"/>
    <n v="74100"/>
  </r>
  <r>
    <x v="379"/>
    <s v="Headphones"/>
    <n v="1"/>
    <n v="14763"/>
    <s v="2024-07-04"/>
    <s v="Jhanvi Dhar"/>
    <x v="93"/>
    <x v="15"/>
    <s v="India"/>
    <s v="Online"/>
    <s v="Net Banking"/>
    <n v="14763"/>
  </r>
  <r>
    <x v="380"/>
    <s v="Smartphone"/>
    <n v="7"/>
    <n v="2511"/>
    <s v="2024-02-09"/>
    <s v="Saanvi Lalla"/>
    <x v="223"/>
    <x v="9"/>
    <s v="India"/>
    <s v="Direct"/>
    <s v="Net Banking"/>
    <n v="17577"/>
  </r>
  <r>
    <x v="381"/>
    <s v="Tablet"/>
    <n v="3"/>
    <n v="15788"/>
    <s v="2024-09-01"/>
    <s v="Eva Walia"/>
    <x v="50"/>
    <x v="18"/>
    <s v="India"/>
    <s v="Store"/>
    <s v="Credit Card"/>
    <n v="47364"/>
  </r>
  <r>
    <x v="382"/>
    <s v="Desktop PC"/>
    <n v="5"/>
    <n v="6366"/>
    <s v="2024-06-11"/>
    <s v="Shlok Ramanathan"/>
    <x v="187"/>
    <x v="17"/>
    <s v="India"/>
    <s v="Store"/>
    <s v="Net Banking"/>
    <n v="31830"/>
  </r>
  <r>
    <x v="383"/>
    <s v="Laptop"/>
    <n v="8"/>
    <n v="18654"/>
    <s v="2024-02-23"/>
    <s v="Prerak Chander"/>
    <x v="23"/>
    <x v="7"/>
    <s v="India"/>
    <s v="Online"/>
    <s v="UPI"/>
    <n v="149232"/>
  </r>
  <r>
    <x v="384"/>
    <s v="Desktop PC"/>
    <n v="4"/>
    <n v="17843"/>
    <s v="2024-02-07"/>
    <s v="Emir Doshi"/>
    <x v="69"/>
    <x v="15"/>
    <s v="India"/>
    <s v="Direct"/>
    <s v="Debit Card"/>
    <n v="71372"/>
  </r>
  <r>
    <x v="385"/>
    <s v="Smartwatch"/>
    <n v="1"/>
    <n v="2447"/>
    <s v="2023-12-26"/>
    <s v="Yakshit Krishnamurthy"/>
    <x v="199"/>
    <x v="24"/>
    <s v="India"/>
    <s v="Store"/>
    <s v="UPI"/>
    <n v="2447"/>
  </r>
  <r>
    <x v="386"/>
    <s v="Printer"/>
    <n v="6"/>
    <n v="6469"/>
    <s v="2024-06-29"/>
    <s v="Parinaaz Golla"/>
    <x v="12"/>
    <x v="16"/>
    <s v="India"/>
    <s v="Store"/>
    <s v="UPI"/>
    <n v="38814"/>
  </r>
  <r>
    <x v="387"/>
    <s v="Camera"/>
    <n v="5"/>
    <n v="18102"/>
    <s v="2024-07-24"/>
    <s v="Anaya Gola"/>
    <x v="201"/>
    <x v="22"/>
    <s v="India"/>
    <s v="Online"/>
    <s v="Debit Card"/>
    <n v="90510"/>
  </r>
  <r>
    <x v="388"/>
    <s v="Desktop PC"/>
    <n v="1"/>
    <n v="2043"/>
    <s v="2024-08-30"/>
    <s v="Mahika Reddy"/>
    <x v="224"/>
    <x v="23"/>
    <s v="India"/>
    <s v="Online"/>
    <s v="Cash"/>
    <n v="2043"/>
  </r>
  <r>
    <x v="389"/>
    <s v="Camera"/>
    <n v="3"/>
    <n v="9526"/>
    <s v="2024-01-06"/>
    <s v="Krish Kashyap"/>
    <x v="198"/>
    <x v="11"/>
    <s v="India"/>
    <s v="Direct"/>
    <s v="Credit Card"/>
    <n v="28578"/>
  </r>
  <r>
    <x v="390"/>
    <s v="E-Reader"/>
    <n v="4"/>
    <n v="13991"/>
    <s v="2023-11-26"/>
    <s v="Ishaan Wable"/>
    <x v="51"/>
    <x v="9"/>
    <s v="India"/>
    <s v="Store"/>
    <s v="Cash"/>
    <n v="55964"/>
  </r>
  <r>
    <x v="391"/>
    <s v="Desktop PC"/>
    <n v="2"/>
    <n v="7012"/>
    <s v="2024-06-28"/>
    <s v="Eshani Zachariah"/>
    <x v="79"/>
    <x v="23"/>
    <s v="India"/>
    <s v="Direct"/>
    <s v="Net Banking"/>
    <n v="14024"/>
  </r>
  <r>
    <x v="392"/>
    <s v="Tablet"/>
    <n v="8"/>
    <n v="4583"/>
    <s v="2024-06-12"/>
    <s v="Uthkarsh Shanker"/>
    <x v="221"/>
    <x v="8"/>
    <s v="India"/>
    <s v="Online"/>
    <s v="Cash"/>
    <n v="36664"/>
  </r>
  <r>
    <x v="393"/>
    <s v="Desktop PC"/>
    <n v="2"/>
    <n v="7410"/>
    <s v="2024-05-10"/>
    <s v="Raghav Chandra"/>
    <x v="190"/>
    <x v="20"/>
    <s v="India"/>
    <s v="Online"/>
    <s v="UPI"/>
    <n v="14820"/>
  </r>
  <r>
    <x v="394"/>
    <s v="Headphones"/>
    <n v="4"/>
    <n v="5360"/>
    <s v="2024-02-28"/>
    <s v="Prisha Raju"/>
    <x v="225"/>
    <x v="24"/>
    <s v="India"/>
    <s v="Online"/>
    <s v="Cash"/>
    <n v="21440"/>
  </r>
  <r>
    <x v="395"/>
    <s v="Headphones"/>
    <n v="5"/>
    <n v="4881"/>
    <s v="2024-02-25"/>
    <s v="Nayantara Jani"/>
    <x v="87"/>
    <x v="10"/>
    <s v="India"/>
    <s v="Online"/>
    <s v="Debit Card"/>
    <n v="24405"/>
  </r>
  <r>
    <x v="396"/>
    <s v="External Hard Drive"/>
    <n v="2"/>
    <n v="4837"/>
    <s v="2023-11-09"/>
    <s v="Ela Dash"/>
    <x v="160"/>
    <x v="11"/>
    <s v="India"/>
    <s v="Direct"/>
    <s v="Credit Card"/>
    <n v="9674"/>
  </r>
  <r>
    <x v="397"/>
    <s v="Smartphone"/>
    <n v="8"/>
    <n v="3000"/>
    <s v="2024-04-18"/>
    <s v="Alia Chauhan"/>
    <x v="53"/>
    <x v="3"/>
    <s v="India"/>
    <s v="Online"/>
    <s v="Debit Card"/>
    <n v="24000"/>
  </r>
  <r>
    <x v="398"/>
    <s v="E-Reader"/>
    <n v="5"/>
    <n v="12582"/>
    <s v="2023-12-15"/>
    <s v="Devansh Hora"/>
    <x v="226"/>
    <x v="20"/>
    <s v="India"/>
    <s v="Online"/>
    <s v="UPI"/>
    <n v="62910"/>
  </r>
  <r>
    <x v="399"/>
    <s v="Smartphone"/>
    <n v="1"/>
    <n v="16609"/>
    <s v="2024-03-21"/>
    <s v="Tiya Shan"/>
    <x v="227"/>
    <x v="14"/>
    <s v="India"/>
    <s v="Store"/>
    <s v="Cash"/>
    <n v="16609"/>
  </r>
  <r>
    <x v="400"/>
    <s v="External Hard Drive"/>
    <n v="3"/>
    <n v="5720"/>
    <s v="2024-05-08"/>
    <s v="Divyansh Lanka"/>
    <x v="7"/>
    <x v="5"/>
    <s v="India"/>
    <s v="Store"/>
    <s v="Credit Card"/>
    <n v="17160"/>
  </r>
  <r>
    <x v="401"/>
    <s v="Smartwatch"/>
    <n v="8"/>
    <n v="14630"/>
    <s v="2023-11-19"/>
    <s v="Tushar Jani"/>
    <x v="129"/>
    <x v="15"/>
    <s v="India"/>
    <s v="Online"/>
    <s v="Net Banking"/>
    <n v="117040"/>
  </r>
  <r>
    <x v="402"/>
    <s v="E-Reader"/>
    <n v="5"/>
    <n v="13858"/>
    <s v="2024-03-14"/>
    <s v="Sana Joshi"/>
    <x v="74"/>
    <x v="11"/>
    <s v="India"/>
    <s v="Online"/>
    <s v="Debit Card"/>
    <n v="69290"/>
  </r>
  <r>
    <x v="403"/>
    <s v="Printer"/>
    <n v="1"/>
    <n v="4622"/>
    <s v="2024-05-02"/>
    <s v="Sumer Mannan"/>
    <x v="228"/>
    <x v="26"/>
    <s v="India"/>
    <s v="Store"/>
    <s v="Net Banking"/>
    <n v="4622"/>
  </r>
  <r>
    <x v="404"/>
    <s v="Headphones"/>
    <n v="3"/>
    <n v="3565"/>
    <s v="2024-03-01"/>
    <s v="Ayesha Zacharia"/>
    <x v="226"/>
    <x v="21"/>
    <s v="India"/>
    <s v="Online"/>
    <s v="Credit Card"/>
    <n v="10695"/>
  </r>
  <r>
    <x v="405"/>
    <s v="Printer"/>
    <n v="7"/>
    <n v="2139"/>
    <s v="2024-07-15"/>
    <s v="Elakshi Doshi"/>
    <x v="77"/>
    <x v="8"/>
    <s v="India"/>
    <s v="Direct"/>
    <s v="Credit Card"/>
    <n v="14973"/>
  </r>
  <r>
    <x v="406"/>
    <s v="External Hard Drive"/>
    <n v="3"/>
    <n v="12398"/>
    <s v="2024-07-16"/>
    <s v="Jivin Varughese"/>
    <x v="183"/>
    <x v="21"/>
    <s v="India"/>
    <s v="Direct"/>
    <s v="Credit Card"/>
    <n v="37194"/>
  </r>
  <r>
    <x v="407"/>
    <s v="Printer"/>
    <n v="5"/>
    <n v="10519"/>
    <s v="2024-03-06"/>
    <s v="Dhruv Sachdev"/>
    <x v="29"/>
    <x v="2"/>
    <s v="India"/>
    <s v="Online"/>
    <s v="Debit Card"/>
    <n v="52595"/>
  </r>
  <r>
    <x v="408"/>
    <s v="Smartphone"/>
    <n v="6"/>
    <n v="5642"/>
    <s v="2024-02-16"/>
    <s v="Miraan Bhatt"/>
    <x v="229"/>
    <x v="8"/>
    <s v="India"/>
    <s v="Direct"/>
    <s v="Cash"/>
    <n v="33852"/>
  </r>
  <r>
    <x v="409"/>
    <s v="Smartwatch"/>
    <n v="5"/>
    <n v="15278"/>
    <s v="2024-03-06"/>
    <s v="Shlok Chand"/>
    <x v="152"/>
    <x v="5"/>
    <s v="India"/>
    <s v="Online"/>
    <s v="UPI"/>
    <n v="76390"/>
  </r>
  <r>
    <x v="410"/>
    <s v="E-Reader"/>
    <n v="5"/>
    <n v="2492"/>
    <s v="2024-08-01"/>
    <s v="Gatik Biswas"/>
    <x v="230"/>
    <x v="4"/>
    <s v="India"/>
    <s v="Direct"/>
    <s v="Cash"/>
    <n v="12460"/>
  </r>
  <r>
    <x v="411"/>
    <s v="Printer"/>
    <n v="9"/>
    <n v="19206"/>
    <s v="2024-04-14"/>
    <s v="Arnav Sarraf"/>
    <x v="71"/>
    <x v="3"/>
    <s v="India"/>
    <s v="Direct"/>
    <s v="Net Banking"/>
    <n v="172854"/>
  </r>
  <r>
    <x v="412"/>
    <s v="Smartphone"/>
    <n v="2"/>
    <n v="18723"/>
    <s v="2024-08-11"/>
    <s v="Azad Kar"/>
    <x v="3"/>
    <x v="15"/>
    <s v="India"/>
    <s v="Online"/>
    <s v="Net Banking"/>
    <n v="37446"/>
  </r>
  <r>
    <x v="413"/>
    <s v="Smartphone"/>
    <n v="6"/>
    <n v="3401"/>
    <s v="2024-01-16"/>
    <s v="Eva Krishnan"/>
    <x v="108"/>
    <x v="25"/>
    <s v="India"/>
    <s v="Direct"/>
    <s v="UPI"/>
    <n v="20406"/>
  </r>
  <r>
    <x v="414"/>
    <s v="External Hard Drive"/>
    <n v="8"/>
    <n v="18874"/>
    <s v="2024-03-30"/>
    <s v="Zoya Ramachandran"/>
    <x v="152"/>
    <x v="13"/>
    <s v="India"/>
    <s v="Direct"/>
    <s v="UPI"/>
    <n v="150992"/>
  </r>
  <r>
    <x v="415"/>
    <s v="Tablet"/>
    <n v="1"/>
    <n v="9299"/>
    <s v="2024-09-21"/>
    <s v="Baiju Dey"/>
    <x v="231"/>
    <x v="6"/>
    <s v="India"/>
    <s v="Store"/>
    <s v="Credit Card"/>
    <n v="9299"/>
  </r>
  <r>
    <x v="416"/>
    <s v="Laptop"/>
    <n v="2"/>
    <n v="2884"/>
    <s v="2024-09-13"/>
    <s v="Aaina Kapadia"/>
    <x v="232"/>
    <x v="15"/>
    <s v="India"/>
    <s v="Online"/>
    <s v="Cash"/>
    <n v="5768"/>
  </r>
  <r>
    <x v="417"/>
    <s v="Camera"/>
    <n v="4"/>
    <n v="9124"/>
    <s v="2024-08-15"/>
    <s v="Aniruddh Golla"/>
    <x v="146"/>
    <x v="25"/>
    <s v="India"/>
    <s v="Online"/>
    <s v="Credit Card"/>
    <n v="36496"/>
  </r>
  <r>
    <x v="418"/>
    <s v="Smartwatch"/>
    <n v="3"/>
    <n v="6081"/>
    <s v="2024-06-18"/>
    <s v="Amira Sampath"/>
    <x v="47"/>
    <x v="7"/>
    <s v="India"/>
    <s v="Store"/>
    <s v="UPI"/>
    <n v="18243"/>
  </r>
  <r>
    <x v="419"/>
    <s v="Camera"/>
    <n v="9"/>
    <n v="2851"/>
    <s v="2024-05-29"/>
    <s v="Anahi Savant"/>
    <x v="209"/>
    <x v="3"/>
    <s v="India"/>
    <s v="Store"/>
    <s v="Net Banking"/>
    <n v="25659"/>
  </r>
  <r>
    <x v="420"/>
    <s v="Headphones"/>
    <n v="3"/>
    <n v="4597"/>
    <s v="2024-01-14"/>
    <s v="Devansh Jaggi"/>
    <x v="233"/>
    <x v="27"/>
    <s v="India"/>
    <s v="Direct"/>
    <s v="Debit Card"/>
    <n v="13791"/>
  </r>
  <r>
    <x v="421"/>
    <s v="Camera"/>
    <n v="5"/>
    <n v="19260"/>
    <s v="2024-08-30"/>
    <s v="Hazel Kanda"/>
    <x v="143"/>
    <x v="1"/>
    <s v="India"/>
    <s v="Online"/>
    <s v="Net Banking"/>
    <n v="96300"/>
  </r>
  <r>
    <x v="422"/>
    <s v="Smartwatch"/>
    <n v="9"/>
    <n v="13993"/>
    <s v="2024-07-07"/>
    <s v="Saanvi Shroff"/>
    <x v="230"/>
    <x v="21"/>
    <s v="India"/>
    <s v="Online"/>
    <s v="Cash"/>
    <n v="125937"/>
  </r>
  <r>
    <x v="423"/>
    <s v="External Hard Drive"/>
    <n v="3"/>
    <n v="17956"/>
    <s v="2024-01-21"/>
    <s v="Mahika Cherian"/>
    <x v="26"/>
    <x v="16"/>
    <s v="India"/>
    <s v="Direct"/>
    <s v="Cash"/>
    <n v="53868"/>
  </r>
  <r>
    <x v="424"/>
    <s v="Smartwatch"/>
    <n v="9"/>
    <n v="15997"/>
    <s v="2024-09-17"/>
    <s v="Azad Borah"/>
    <x v="127"/>
    <x v="7"/>
    <s v="India"/>
    <s v="Direct"/>
    <s v="Net Banking"/>
    <n v="143973"/>
  </r>
  <r>
    <x v="425"/>
    <s v="Headphones"/>
    <n v="8"/>
    <n v="3512"/>
    <s v="2024-07-21"/>
    <s v="Riya Bhalla"/>
    <x v="234"/>
    <x v="20"/>
    <s v="India"/>
    <s v="Online"/>
    <s v="Credit Card"/>
    <n v="28096"/>
  </r>
  <r>
    <x v="426"/>
    <s v="Printer"/>
    <n v="9"/>
    <n v="9713"/>
    <s v="2024-03-02"/>
    <s v="Myra Sur"/>
    <x v="235"/>
    <x v="14"/>
    <s v="India"/>
    <s v="Store"/>
    <s v="Debit Card"/>
    <n v="87417"/>
  </r>
  <r>
    <x v="427"/>
    <s v="Smartwatch"/>
    <n v="3"/>
    <n v="7444"/>
    <s v="2024-08-18"/>
    <s v="Shlok Bhatt"/>
    <x v="177"/>
    <x v="6"/>
    <s v="India"/>
    <s v="Store"/>
    <s v="UPI"/>
    <n v="22332"/>
  </r>
  <r>
    <x v="428"/>
    <s v="External Hard Drive"/>
    <n v="4"/>
    <n v="16616"/>
    <s v="2023-10-23"/>
    <s v="Kashvi Buch"/>
    <x v="10"/>
    <x v="17"/>
    <s v="India"/>
    <s v="Store"/>
    <s v="Credit Card"/>
    <n v="66464"/>
  </r>
  <r>
    <x v="429"/>
    <s v="E-Reader"/>
    <n v="4"/>
    <n v="3394"/>
    <s v="2024-05-02"/>
    <s v="Mamooty Dugar"/>
    <x v="200"/>
    <x v="14"/>
    <s v="India"/>
    <s v="Direct"/>
    <s v="Cash"/>
    <n v="13576"/>
  </r>
  <r>
    <x v="430"/>
    <s v="Tablet"/>
    <n v="7"/>
    <n v="13836"/>
    <s v="2024-05-17"/>
    <s v="Dhruv Sundaram"/>
    <x v="236"/>
    <x v="19"/>
    <s v="India"/>
    <s v="Online"/>
    <s v="Debit Card"/>
    <n v="96852"/>
  </r>
  <r>
    <x v="431"/>
    <s v="Desktop PC"/>
    <n v="1"/>
    <n v="17993"/>
    <s v="2024-03-26"/>
    <s v="Hiran Suresh"/>
    <x v="133"/>
    <x v="3"/>
    <s v="India"/>
    <s v="Direct"/>
    <s v="Debit Card"/>
    <n v="17993"/>
  </r>
  <r>
    <x v="432"/>
    <s v="Desktop PC"/>
    <n v="4"/>
    <n v="12698"/>
    <s v="2024-08-03"/>
    <s v="Purab Bhattacharyya"/>
    <x v="175"/>
    <x v="9"/>
    <s v="India"/>
    <s v="Online"/>
    <s v="Cash"/>
    <n v="50792"/>
  </r>
  <r>
    <x v="433"/>
    <s v="E-Reader"/>
    <n v="7"/>
    <n v="3263"/>
    <s v="2024-09-11"/>
    <s v="Tejas Kulkarni"/>
    <x v="237"/>
    <x v="23"/>
    <s v="India"/>
    <s v="Store"/>
    <s v="UPI"/>
    <n v="22841"/>
  </r>
  <r>
    <x v="434"/>
    <s v="Camera"/>
    <n v="4"/>
    <n v="6124"/>
    <s v="2024-05-20"/>
    <s v="Vihaan Luthra"/>
    <x v="190"/>
    <x v="18"/>
    <s v="India"/>
    <s v="Online"/>
    <s v="Credit Card"/>
    <n v="24496"/>
  </r>
  <r>
    <x v="435"/>
    <s v="Desktop PC"/>
    <n v="7"/>
    <n v="6562"/>
    <s v="2023-10-25"/>
    <s v="Jhanvi Sankaran"/>
    <x v="57"/>
    <x v="23"/>
    <s v="India"/>
    <s v="Store"/>
    <s v="Debit Card"/>
    <n v="45934"/>
  </r>
  <r>
    <x v="436"/>
    <s v="Headphones"/>
    <n v="4"/>
    <n v="16420"/>
    <s v="2024-01-03"/>
    <s v="Farhan Madan"/>
    <x v="167"/>
    <x v="5"/>
    <s v="India"/>
    <s v="Store"/>
    <s v="Net Banking"/>
    <n v="65680"/>
  </r>
  <r>
    <x v="437"/>
    <s v="E-Reader"/>
    <n v="3"/>
    <n v="19685"/>
    <s v="2024-01-30"/>
    <s v="Anvi Kalla"/>
    <x v="238"/>
    <x v="24"/>
    <s v="India"/>
    <s v="Store"/>
    <s v="UPI"/>
    <n v="59055"/>
  </r>
  <r>
    <x v="438"/>
    <s v="Tablet"/>
    <n v="3"/>
    <n v="5703"/>
    <s v="2024-03-13"/>
    <s v="Kimaya Shere"/>
    <x v="105"/>
    <x v="17"/>
    <s v="India"/>
    <s v="Store"/>
    <s v="Cash"/>
    <n v="17109"/>
  </r>
  <r>
    <x v="439"/>
    <s v="Headphones"/>
    <n v="3"/>
    <n v="4970"/>
    <s v="2024-04-15"/>
    <s v="Devansh Baria"/>
    <x v="222"/>
    <x v="22"/>
    <s v="India"/>
    <s v="Direct"/>
    <s v="Net Banking"/>
    <n v="14910"/>
  </r>
  <r>
    <x v="440"/>
    <s v="Laptop"/>
    <n v="7"/>
    <n v="10153"/>
    <s v="2024-09-12"/>
    <s v="Zain Sami"/>
    <x v="165"/>
    <x v="21"/>
    <s v="India"/>
    <s v="Direct"/>
    <s v="Net Banking"/>
    <n v="71071"/>
  </r>
  <r>
    <x v="441"/>
    <s v="Desktop PC"/>
    <n v="5"/>
    <n v="8949"/>
    <s v="2023-10-10"/>
    <s v="Biju Balakrishnan"/>
    <x v="217"/>
    <x v="14"/>
    <s v="India"/>
    <s v="Direct"/>
    <s v="UPI"/>
    <n v="44745"/>
  </r>
  <r>
    <x v="442"/>
    <s v="Desktop PC"/>
    <n v="7"/>
    <n v="16343"/>
    <s v="2023-11-24"/>
    <s v="Zara Golla"/>
    <x v="77"/>
    <x v="8"/>
    <s v="India"/>
    <s v="Direct"/>
    <s v="Cash"/>
    <n v="114401"/>
  </r>
  <r>
    <x v="443"/>
    <s v="Smartwatch"/>
    <n v="1"/>
    <n v="3400"/>
    <s v="2024-04-03"/>
    <s v="Akarsh Tandon"/>
    <x v="72"/>
    <x v="11"/>
    <s v="India"/>
    <s v="Online"/>
    <s v="Debit Card"/>
    <n v="3400"/>
  </r>
  <r>
    <x v="444"/>
    <s v="External Hard Drive"/>
    <n v="5"/>
    <n v="17696"/>
    <s v="2024-08-31"/>
    <s v="Himmat Hegde"/>
    <x v="167"/>
    <x v="7"/>
    <s v="India"/>
    <s v="Online"/>
    <s v="Credit Card"/>
    <n v="88480"/>
  </r>
  <r>
    <x v="445"/>
    <s v="Printer"/>
    <n v="3"/>
    <n v="9627"/>
    <s v="2024-01-19"/>
    <s v="Kismat Kadakia"/>
    <x v="220"/>
    <x v="7"/>
    <s v="India"/>
    <s v="Direct"/>
    <s v="Cash"/>
    <n v="28881"/>
  </r>
  <r>
    <x v="446"/>
    <s v="Desktop PC"/>
    <n v="2"/>
    <n v="16722"/>
    <s v="2024-08-21"/>
    <s v="Divij Ghosh"/>
    <x v="135"/>
    <x v="4"/>
    <s v="India"/>
    <s v="Direct"/>
    <s v="Credit Card"/>
    <n v="33444"/>
  </r>
  <r>
    <x v="447"/>
    <s v="E-Reader"/>
    <n v="7"/>
    <n v="9478"/>
    <s v="2024-07-17"/>
    <s v="Keya Dhaliwal"/>
    <x v="232"/>
    <x v="14"/>
    <s v="India"/>
    <s v="Store"/>
    <s v="UPI"/>
    <n v="66346"/>
  </r>
  <r>
    <x v="448"/>
    <s v="Printer"/>
    <n v="2"/>
    <n v="11733"/>
    <s v="2024-06-08"/>
    <s v="Raunak Sunder"/>
    <x v="206"/>
    <x v="6"/>
    <s v="India"/>
    <s v="Store"/>
    <s v="Cash"/>
    <n v="23466"/>
  </r>
  <r>
    <x v="449"/>
    <s v="Laptop"/>
    <n v="8"/>
    <n v="10061"/>
    <s v="2024-07-29"/>
    <s v="Advik Dugal"/>
    <x v="130"/>
    <x v="17"/>
    <s v="India"/>
    <s v="Store"/>
    <s v="Net Banking"/>
    <n v="80488"/>
  </r>
  <r>
    <x v="450"/>
    <s v="Headphones"/>
    <n v="6"/>
    <n v="9758"/>
    <s v="2024-06-04"/>
    <s v="Saira Jayaraman"/>
    <x v="13"/>
    <x v="14"/>
    <s v="India"/>
    <s v="Online"/>
    <s v="Credit Card"/>
    <n v="58548"/>
  </r>
  <r>
    <x v="451"/>
    <s v="Printer"/>
    <n v="7"/>
    <n v="16213"/>
    <s v="2023-11-11"/>
    <s v="Shlok Dayal"/>
    <x v="239"/>
    <x v="8"/>
    <s v="India"/>
    <s v="Online"/>
    <s v="Cash"/>
    <n v="113491"/>
  </r>
  <r>
    <x v="452"/>
    <s v="Tablet"/>
    <n v="2"/>
    <n v="15393"/>
    <s v="2023-10-11"/>
    <s v="Adah Tata"/>
    <x v="240"/>
    <x v="19"/>
    <s v="India"/>
    <s v="Direct"/>
    <s v="UPI"/>
    <n v="30786"/>
  </r>
  <r>
    <x v="453"/>
    <s v="Smartwatch"/>
    <n v="7"/>
    <n v="11449"/>
    <s v="2024-03-26"/>
    <s v="Ahana  Gandhi"/>
    <x v="105"/>
    <x v="8"/>
    <s v="India"/>
    <s v="Online"/>
    <s v="Debit Card"/>
    <n v="80143"/>
  </r>
  <r>
    <x v="454"/>
    <s v="External Hard Drive"/>
    <n v="7"/>
    <n v="2110"/>
    <s v="2024-07-02"/>
    <s v="Dharmajan Dash"/>
    <x v="241"/>
    <x v="22"/>
    <s v="India"/>
    <s v="Online"/>
    <s v="Cash"/>
    <n v="14770"/>
  </r>
  <r>
    <x v="455"/>
    <s v="Smartwatch"/>
    <n v="7"/>
    <n v="4668"/>
    <s v="2024-09-19"/>
    <s v="Elakshi Suresh"/>
    <x v="51"/>
    <x v="11"/>
    <s v="India"/>
    <s v="Online"/>
    <s v="UPI"/>
    <n v="32676"/>
  </r>
  <r>
    <x v="456"/>
    <s v="Printer"/>
    <n v="7"/>
    <n v="3054"/>
    <s v="2024-02-23"/>
    <s v="Miraan Brar"/>
    <x v="240"/>
    <x v="15"/>
    <s v="India"/>
    <s v="Store"/>
    <s v="UPI"/>
    <n v="21378"/>
  </r>
  <r>
    <x v="457"/>
    <s v="External Hard Drive"/>
    <n v="3"/>
    <n v="11987"/>
    <s v="2024-08-28"/>
    <s v="Vanya Kurian"/>
    <x v="5"/>
    <x v="6"/>
    <s v="India"/>
    <s v="Direct"/>
    <s v="Debit Card"/>
    <n v="35961"/>
  </r>
  <r>
    <x v="458"/>
    <s v="Camera"/>
    <n v="6"/>
    <n v="2128"/>
    <s v="2024-06-20"/>
    <s v="Advika Lall"/>
    <x v="242"/>
    <x v="11"/>
    <s v="India"/>
    <s v="Direct"/>
    <s v="Debit Card"/>
    <n v="12768"/>
  </r>
  <r>
    <x v="459"/>
    <s v="Smartwatch"/>
    <n v="3"/>
    <n v="12540"/>
    <s v="2023-11-25"/>
    <s v="Vedika Varty"/>
    <x v="7"/>
    <x v="27"/>
    <s v="India"/>
    <s v="Online"/>
    <s v="Cash"/>
    <n v="37620"/>
  </r>
  <r>
    <x v="460"/>
    <s v="Smartphone"/>
    <n v="3"/>
    <n v="19644"/>
    <s v="2023-12-31"/>
    <s v="Aaina Ramanathan"/>
    <x v="44"/>
    <x v="17"/>
    <s v="India"/>
    <s v="Store"/>
    <s v="Cash"/>
    <n v="58932"/>
  </r>
  <r>
    <x v="461"/>
    <s v="External Hard Drive"/>
    <n v="4"/>
    <n v="5072"/>
    <s v="2024-06-03"/>
    <s v="Gokul Bhalla"/>
    <x v="243"/>
    <x v="18"/>
    <s v="India"/>
    <s v="Direct"/>
    <s v="UPI"/>
    <n v="20288"/>
  </r>
  <r>
    <x v="462"/>
    <s v="Smartwatch"/>
    <n v="3"/>
    <n v="15218"/>
    <s v="2023-10-03"/>
    <s v="Piya Hans"/>
    <x v="60"/>
    <x v="3"/>
    <s v="India"/>
    <s v="Store"/>
    <s v="UPI"/>
    <n v="45654"/>
  </r>
  <r>
    <x v="463"/>
    <s v="Laptop"/>
    <n v="4"/>
    <n v="3010"/>
    <s v="2023-12-30"/>
    <s v="Krish Sharaf"/>
    <x v="244"/>
    <x v="8"/>
    <s v="India"/>
    <s v="Online"/>
    <s v="Debit Card"/>
    <n v="12040"/>
  </r>
  <r>
    <x v="464"/>
    <s v="Printer"/>
    <n v="9"/>
    <n v="11444"/>
    <s v="2024-02-11"/>
    <s v="Suhana Singh"/>
    <x v="62"/>
    <x v="13"/>
    <s v="India"/>
    <s v="Online"/>
    <s v="Net Banking"/>
    <n v="102996"/>
  </r>
  <r>
    <x v="465"/>
    <s v="Printer"/>
    <n v="6"/>
    <n v="3211"/>
    <s v="2023-11-28"/>
    <s v="Tarini Dugar"/>
    <x v="245"/>
    <x v="11"/>
    <s v="India"/>
    <s v="Direct"/>
    <s v="Credit Card"/>
    <n v="19266"/>
  </r>
  <r>
    <x v="466"/>
    <s v="Laptop"/>
    <n v="5"/>
    <n v="15333"/>
    <s v="2024-06-05"/>
    <s v="Aarna Lalla"/>
    <x v="122"/>
    <x v="10"/>
    <s v="India"/>
    <s v="Direct"/>
    <s v="Cash"/>
    <n v="76665"/>
  </r>
  <r>
    <x v="467"/>
    <s v="Desktop PC"/>
    <n v="6"/>
    <n v="14351"/>
    <s v="2024-05-13"/>
    <s v="Zain Dutt"/>
    <x v="3"/>
    <x v="2"/>
    <s v="India"/>
    <s v="Direct"/>
    <s v="Net Banking"/>
    <n v="86106"/>
  </r>
  <r>
    <x v="468"/>
    <s v="E-Reader"/>
    <n v="2"/>
    <n v="17864"/>
    <s v="2023-12-28"/>
    <s v="Dharmajan Dhar"/>
    <x v="130"/>
    <x v="7"/>
    <s v="India"/>
    <s v="Online"/>
    <s v="UPI"/>
    <n v="35728"/>
  </r>
  <r>
    <x v="469"/>
    <s v="External Hard Drive"/>
    <n v="6"/>
    <n v="16993"/>
    <s v="2024-08-22"/>
    <s v="Aayush Srivastava"/>
    <x v="198"/>
    <x v="4"/>
    <s v="India"/>
    <s v="Online"/>
    <s v="UPI"/>
    <n v="101958"/>
  </r>
  <r>
    <x v="470"/>
    <s v="External Hard Drive"/>
    <n v="9"/>
    <n v="11935"/>
    <s v="2024-01-23"/>
    <s v="Uthkarsh Batra"/>
    <x v="30"/>
    <x v="23"/>
    <s v="India"/>
    <s v="Direct"/>
    <s v="UPI"/>
    <n v="107415"/>
  </r>
  <r>
    <x v="471"/>
    <s v="E-Reader"/>
    <n v="3"/>
    <n v="13137"/>
    <s v="2024-03-01"/>
    <s v="Himmat Krishnan"/>
    <x v="147"/>
    <x v="4"/>
    <s v="India"/>
    <s v="Online"/>
    <s v="Cash"/>
    <n v="39411"/>
  </r>
  <r>
    <x v="472"/>
    <s v="Smartphone"/>
    <n v="6"/>
    <n v="16479"/>
    <s v="2024-04-18"/>
    <s v="Kaira Bajwa"/>
    <x v="10"/>
    <x v="5"/>
    <s v="India"/>
    <s v="Store"/>
    <s v="Cash"/>
    <n v="98874"/>
  </r>
  <r>
    <x v="473"/>
    <s v="Smartphone"/>
    <n v="7"/>
    <n v="8870"/>
    <s v="2024-09-07"/>
    <s v="Dhruv Jhaveri"/>
    <x v="108"/>
    <x v="3"/>
    <s v="India"/>
    <s v="Online"/>
    <s v="Credit Card"/>
    <n v="62090"/>
  </r>
  <r>
    <x v="474"/>
    <s v="E-Reader"/>
    <n v="5"/>
    <n v="19644"/>
    <s v="2024-08-11"/>
    <s v="Lagan Gopal"/>
    <x v="31"/>
    <x v="7"/>
    <s v="India"/>
    <s v="Store"/>
    <s v="Net Banking"/>
    <n v="98220"/>
  </r>
  <r>
    <x v="475"/>
    <s v="Tablet"/>
    <n v="1"/>
    <n v="12165"/>
    <s v="2024-07-30"/>
    <s v="Hunar Varughese"/>
    <x v="151"/>
    <x v="17"/>
    <s v="India"/>
    <s v="Store"/>
    <s v="UPI"/>
    <n v="12165"/>
  </r>
  <r>
    <x v="476"/>
    <s v="Printer"/>
    <n v="9"/>
    <n v="17766"/>
    <s v="2024-06-10"/>
    <s v="Arhaan Balay"/>
    <x v="22"/>
    <x v="13"/>
    <s v="India"/>
    <s v="Direct"/>
    <s v="UPI"/>
    <n v="159894"/>
  </r>
  <r>
    <x v="477"/>
    <s v="Headphones"/>
    <n v="6"/>
    <n v="15773"/>
    <s v="2024-01-06"/>
    <s v="Shayak Das"/>
    <x v="87"/>
    <x v="7"/>
    <s v="India"/>
    <s v="Online"/>
    <s v="Cash"/>
    <n v="94638"/>
  </r>
  <r>
    <x v="478"/>
    <s v="Smartwatch"/>
    <n v="6"/>
    <n v="4674"/>
    <s v="2024-03-18"/>
    <s v="Shamik Doctor"/>
    <x v="11"/>
    <x v="4"/>
    <s v="India"/>
    <s v="Online"/>
    <s v="Debit Card"/>
    <n v="28044"/>
  </r>
  <r>
    <x v="479"/>
    <s v="Tablet"/>
    <n v="6"/>
    <n v="3929"/>
    <s v="2024-02-26"/>
    <s v="Akarsh Vig"/>
    <x v="33"/>
    <x v="3"/>
    <s v="India"/>
    <s v="Store"/>
    <s v="Net Banking"/>
    <n v="23574"/>
  </r>
  <r>
    <x v="480"/>
    <s v="Laptop"/>
    <n v="2"/>
    <n v="14214"/>
    <s v="2024-02-02"/>
    <s v="Ahana  Kade"/>
    <x v="16"/>
    <x v="6"/>
    <s v="India"/>
    <s v="Store"/>
    <s v="UPI"/>
    <n v="28428"/>
  </r>
  <r>
    <x v="481"/>
    <s v="Headphones"/>
    <n v="1"/>
    <n v="2947"/>
    <s v="2024-01-30"/>
    <s v="Seher Walia"/>
    <x v="167"/>
    <x v="5"/>
    <s v="India"/>
    <s v="Direct"/>
    <s v="Net Banking"/>
    <n v="2947"/>
  </r>
  <r>
    <x v="482"/>
    <s v="Smartwatch"/>
    <n v="1"/>
    <n v="13761"/>
    <s v="2023-09-24"/>
    <s v="Aradhya Bir"/>
    <x v="209"/>
    <x v="23"/>
    <s v="India"/>
    <s v="Store"/>
    <s v="Cash"/>
    <n v="13761"/>
  </r>
  <r>
    <x v="483"/>
    <s v="Smartwatch"/>
    <n v="1"/>
    <n v="16590"/>
    <s v="2024-09-08"/>
    <s v="Taimur Gara"/>
    <x v="246"/>
    <x v="18"/>
    <s v="India"/>
    <s v="Direct"/>
    <s v="Net Banking"/>
    <n v="16590"/>
  </r>
  <r>
    <x v="484"/>
    <s v="External Hard Drive"/>
    <n v="1"/>
    <n v="13638"/>
    <s v="2024-03-31"/>
    <s v="Anahita Tella"/>
    <x v="75"/>
    <x v="20"/>
    <s v="India"/>
    <s v="Online"/>
    <s v="Credit Card"/>
    <n v="13638"/>
  </r>
  <r>
    <x v="485"/>
    <s v="Laptop"/>
    <n v="1"/>
    <n v="17688"/>
    <s v="2024-02-08"/>
    <s v="Purab Chand"/>
    <x v="66"/>
    <x v="7"/>
    <s v="India"/>
    <s v="Direct"/>
    <s v="UPI"/>
    <n v="17688"/>
  </r>
  <r>
    <x v="486"/>
    <s v="Smartwatch"/>
    <n v="8"/>
    <n v="18876"/>
    <s v="2024-08-21"/>
    <s v="Pihu Sachdeva"/>
    <x v="148"/>
    <x v="26"/>
    <s v="India"/>
    <s v="Direct"/>
    <s v="Cash"/>
    <n v="151008"/>
  </r>
  <r>
    <x v="487"/>
    <s v="E-Reader"/>
    <n v="7"/>
    <n v="14005"/>
    <s v="2024-01-19"/>
    <s v="Arhaan Balay"/>
    <x v="196"/>
    <x v="17"/>
    <s v="India"/>
    <s v="Online"/>
    <s v="Net Banking"/>
    <n v="98035"/>
  </r>
  <r>
    <x v="488"/>
    <s v="Smartphone"/>
    <n v="4"/>
    <n v="14306"/>
    <s v="2023-12-21"/>
    <s v="Aaina Dayal"/>
    <x v="239"/>
    <x v="21"/>
    <s v="India"/>
    <s v="Online"/>
    <s v="Debit Card"/>
    <n v="57224"/>
  </r>
  <r>
    <x v="489"/>
    <s v="Smartwatch"/>
    <n v="6"/>
    <n v="12437"/>
    <s v="2024-06-01"/>
    <s v="Umang Dani"/>
    <x v="236"/>
    <x v="15"/>
    <s v="India"/>
    <s v="Online"/>
    <s v="Net Banking"/>
    <n v="74622"/>
  </r>
  <r>
    <x v="490"/>
    <s v="Desktop PC"/>
    <n v="5"/>
    <n v="17581"/>
    <s v="2023-12-10"/>
    <s v="Divij Kale"/>
    <x v="113"/>
    <x v="25"/>
    <s v="India"/>
    <s v="Store"/>
    <s v="Credit Card"/>
    <n v="87905"/>
  </r>
  <r>
    <x v="491"/>
    <s v="Desktop PC"/>
    <n v="4"/>
    <n v="18889"/>
    <s v="2024-06-02"/>
    <s v="Uthkarsh Sarraf"/>
    <x v="206"/>
    <x v="3"/>
    <s v="India"/>
    <s v="Store"/>
    <s v="Debit Card"/>
    <n v="75556"/>
  </r>
  <r>
    <x v="492"/>
    <s v="Smartwatch"/>
    <n v="5"/>
    <n v="19637"/>
    <s v="2024-05-20"/>
    <s v="Jayant Kuruvilla"/>
    <x v="233"/>
    <x v="14"/>
    <s v="India"/>
    <s v="Store"/>
    <s v="Credit Card"/>
    <n v="98185"/>
  </r>
  <r>
    <x v="493"/>
    <s v="Smartwatch"/>
    <n v="6"/>
    <n v="2362"/>
    <s v="2024-09-14"/>
    <s v="Ivan Walla"/>
    <x v="247"/>
    <x v="4"/>
    <s v="India"/>
    <s v="Online"/>
    <s v="Cash"/>
    <n v="14172"/>
  </r>
  <r>
    <x v="494"/>
    <s v="E-Reader"/>
    <n v="2"/>
    <n v="4205"/>
    <s v="2023-10-26"/>
    <s v="Stuvan Ram"/>
    <x v="20"/>
    <x v="12"/>
    <s v="India"/>
    <s v="Direct"/>
    <s v="Debit Card"/>
    <n v="8410"/>
  </r>
  <r>
    <x v="495"/>
    <s v="Printer"/>
    <n v="4"/>
    <n v="11371"/>
    <s v="2023-10-29"/>
    <s v="Manjari Dewan"/>
    <x v="86"/>
    <x v="25"/>
    <s v="India"/>
    <s v="Online"/>
    <s v="UPI"/>
    <n v="45484"/>
  </r>
  <r>
    <x v="496"/>
    <s v="Tablet"/>
    <n v="7"/>
    <n v="18779"/>
    <s v="2024-08-19"/>
    <s v="Manjari D’Alia"/>
    <x v="248"/>
    <x v="19"/>
    <s v="India"/>
    <s v="Online"/>
    <s v="Credit Card"/>
    <n v="131453"/>
  </r>
  <r>
    <x v="497"/>
    <s v="Tablet"/>
    <n v="8"/>
    <n v="5377"/>
    <s v="2024-06-28"/>
    <s v="Saanvi Subramaniam"/>
    <x v="107"/>
    <x v="26"/>
    <s v="India"/>
    <s v="Online"/>
    <s v="Credit Card"/>
    <n v="43016"/>
  </r>
  <r>
    <x v="498"/>
    <s v="Headphones"/>
    <n v="5"/>
    <n v="15640"/>
    <s v="2024-04-13"/>
    <s v="Alisha Sur"/>
    <x v="239"/>
    <x v="11"/>
    <s v="India"/>
    <s v="Store"/>
    <s v="Credit Card"/>
    <n v="78200"/>
  </r>
  <r>
    <x v="499"/>
    <s v="Tablet"/>
    <n v="1"/>
    <n v="6440"/>
    <s v="2023-12-25"/>
    <s v="Nehmat Deshpande"/>
    <x v="249"/>
    <x v="20"/>
    <s v="India"/>
    <s v="Direct"/>
    <s v="Net Banking"/>
    <n v="6440"/>
  </r>
  <r>
    <x v="500"/>
    <s v="Smartwatch"/>
    <n v="1"/>
    <n v="5506"/>
    <s v="2024-02-23"/>
    <s v="Romil Kata"/>
    <x v="63"/>
    <x v="24"/>
    <s v="India"/>
    <s v="Store"/>
    <s v="Debit Card"/>
    <n v="5506"/>
  </r>
  <r>
    <x v="501"/>
    <s v="Smartphone"/>
    <n v="8"/>
    <n v="18015"/>
    <s v="2023-12-17"/>
    <s v="Mohanlal Mandal"/>
    <x v="89"/>
    <x v="25"/>
    <s v="India"/>
    <s v="Direct"/>
    <s v="Debit Card"/>
    <n v="144120"/>
  </r>
  <r>
    <x v="502"/>
    <s v="Desktop PC"/>
    <n v="4"/>
    <n v="18515"/>
    <s v="2024-04-18"/>
    <s v="Ela Comar"/>
    <x v="250"/>
    <x v="8"/>
    <s v="India"/>
    <s v="Online"/>
    <s v="Net Banking"/>
    <n v="74060"/>
  </r>
  <r>
    <x v="503"/>
    <s v="Printer"/>
    <n v="4"/>
    <n v="8076"/>
    <s v="2023-10-09"/>
    <s v="Lakshit Mannan"/>
    <x v="189"/>
    <x v="4"/>
    <s v="India"/>
    <s v="Online"/>
    <s v="UPI"/>
    <n v="32304"/>
  </r>
  <r>
    <x v="504"/>
    <s v="Camera"/>
    <n v="1"/>
    <n v="12151"/>
    <s v="2024-09-04"/>
    <s v="Nayantara Gala"/>
    <x v="251"/>
    <x v="6"/>
    <s v="India"/>
    <s v="Direct"/>
    <s v="Cash"/>
    <n v="12151"/>
  </r>
  <r>
    <x v="505"/>
    <s v="Tablet"/>
    <n v="1"/>
    <n v="15822"/>
    <s v="2023-11-17"/>
    <s v="Vihaan Ganguly"/>
    <x v="211"/>
    <x v="10"/>
    <s v="India"/>
    <s v="Online"/>
    <s v="Cash"/>
    <n v="15822"/>
  </r>
  <r>
    <x v="506"/>
    <s v="Smartphone"/>
    <n v="5"/>
    <n v="14355"/>
    <s v="2023-12-01"/>
    <s v="Arhaan Ratti"/>
    <x v="141"/>
    <x v="24"/>
    <s v="India"/>
    <s v="Online"/>
    <s v="Net Banking"/>
    <n v="71775"/>
  </r>
  <r>
    <x v="507"/>
    <s v="Smartwatch"/>
    <n v="5"/>
    <n v="11784"/>
    <s v="2024-01-21"/>
    <s v="Tushar Bhagat"/>
    <x v="33"/>
    <x v="15"/>
    <s v="India"/>
    <s v="Store"/>
    <s v="Net Banking"/>
    <n v="58920"/>
  </r>
  <r>
    <x v="508"/>
    <s v="Smartphone"/>
    <n v="6"/>
    <n v="6698"/>
    <s v="2024-02-12"/>
    <s v="Pari Deshpande"/>
    <x v="49"/>
    <x v="4"/>
    <s v="India"/>
    <s v="Store"/>
    <s v="Net Banking"/>
    <n v="40188"/>
  </r>
  <r>
    <x v="509"/>
    <s v="E-Reader"/>
    <n v="9"/>
    <n v="4127"/>
    <s v="2024-02-10"/>
    <s v="Anahita Suresh"/>
    <x v="95"/>
    <x v="4"/>
    <s v="India"/>
    <s v="Online"/>
    <s v="UPI"/>
    <n v="37143"/>
  </r>
  <r>
    <x v="510"/>
    <s v="Headphones"/>
    <n v="9"/>
    <n v="9671"/>
    <s v="2023-12-05"/>
    <s v="Chirag Chacko"/>
    <x v="72"/>
    <x v="9"/>
    <s v="India"/>
    <s v="Online"/>
    <s v="Credit Card"/>
    <n v="87039"/>
  </r>
  <r>
    <x v="511"/>
    <s v="Desktop PC"/>
    <n v="1"/>
    <n v="19310"/>
    <s v="2024-07-17"/>
    <s v="Alia Arya"/>
    <x v="18"/>
    <x v="27"/>
    <s v="India"/>
    <s v="Store"/>
    <s v="Cash"/>
    <n v="19310"/>
  </r>
  <r>
    <x v="512"/>
    <s v="External Hard Drive"/>
    <n v="2"/>
    <n v="3604"/>
    <s v="2024-01-09"/>
    <s v="Yasmin Shere"/>
    <x v="213"/>
    <x v="27"/>
    <s v="India"/>
    <s v="Direct"/>
    <s v="Net Banking"/>
    <n v="7208"/>
  </r>
  <r>
    <x v="513"/>
    <s v="Camera"/>
    <n v="6"/>
    <n v="10736"/>
    <s v="2023-12-09"/>
    <s v="Anvi Dube"/>
    <x v="18"/>
    <x v="9"/>
    <s v="India"/>
    <s v="Store"/>
    <s v="Net Banking"/>
    <n v="64416"/>
  </r>
  <r>
    <x v="514"/>
    <s v="Tablet"/>
    <n v="7"/>
    <n v="9339"/>
    <s v="2024-07-27"/>
    <s v="Yasmin Amble"/>
    <x v="126"/>
    <x v="6"/>
    <s v="India"/>
    <s v="Direct"/>
    <s v="Cash"/>
    <n v="65373"/>
  </r>
  <r>
    <x v="515"/>
    <s v="Desktop PC"/>
    <n v="2"/>
    <n v="10829"/>
    <s v="2024-06-03"/>
    <s v="Yashvi Lall"/>
    <x v="138"/>
    <x v="16"/>
    <s v="India"/>
    <s v="Online"/>
    <s v="Credit Card"/>
    <n v="21658"/>
  </r>
  <r>
    <x v="516"/>
    <s v="Camera"/>
    <n v="5"/>
    <n v="17676"/>
    <s v="2024-01-06"/>
    <s v="Misha Buch"/>
    <x v="252"/>
    <x v="26"/>
    <s v="India"/>
    <s v="Store"/>
    <s v="UPI"/>
    <n v="88380"/>
  </r>
  <r>
    <x v="517"/>
    <s v="Smartwatch"/>
    <n v="1"/>
    <n v="14845"/>
    <s v="2024-06-29"/>
    <s v="Keya Sastry"/>
    <x v="56"/>
    <x v="27"/>
    <s v="India"/>
    <s v="Direct"/>
    <s v="Cash"/>
    <n v="14845"/>
  </r>
  <r>
    <x v="518"/>
    <s v="Tablet"/>
    <n v="5"/>
    <n v="8429"/>
    <s v="2024-09-07"/>
    <s v="Vivaan Sethi"/>
    <x v="167"/>
    <x v="13"/>
    <s v="India"/>
    <s v="Store"/>
    <s v="Cash"/>
    <n v="42145"/>
  </r>
  <r>
    <x v="519"/>
    <s v="Desktop PC"/>
    <n v="8"/>
    <n v="18634"/>
    <s v="2023-12-10"/>
    <s v="Pranay Agate"/>
    <x v="221"/>
    <x v="26"/>
    <s v="India"/>
    <s v="Store"/>
    <s v="Debit Card"/>
    <n v="149072"/>
  </r>
  <r>
    <x v="520"/>
    <s v="Camera"/>
    <n v="8"/>
    <n v="11371"/>
    <s v="2024-01-29"/>
    <s v="Hunar Bassi"/>
    <x v="231"/>
    <x v="26"/>
    <s v="India"/>
    <s v="Online"/>
    <s v="Credit Card"/>
    <n v="90968"/>
  </r>
  <r>
    <x v="521"/>
    <s v="E-Reader"/>
    <n v="8"/>
    <n v="19179"/>
    <s v="2024-05-31"/>
    <s v="Onkar Kar"/>
    <x v="253"/>
    <x v="23"/>
    <s v="India"/>
    <s v="Online"/>
    <s v="Credit Card"/>
    <n v="153432"/>
  </r>
  <r>
    <x v="522"/>
    <s v="Printer"/>
    <n v="7"/>
    <n v="10318"/>
    <s v="2024-02-28"/>
    <s v="Eshani Sekhon"/>
    <x v="254"/>
    <x v="12"/>
    <s v="India"/>
    <s v="Direct"/>
    <s v="Credit Card"/>
    <n v="72226"/>
  </r>
  <r>
    <x v="523"/>
    <s v="E-Reader"/>
    <n v="3"/>
    <n v="8216"/>
    <s v="2024-07-20"/>
    <s v="Vanya Suri"/>
    <x v="105"/>
    <x v="16"/>
    <s v="India"/>
    <s v="Direct"/>
    <s v="Net Banking"/>
    <n v="24648"/>
  </r>
  <r>
    <x v="524"/>
    <s v="E-Reader"/>
    <n v="7"/>
    <n v="7195"/>
    <s v="2024-05-19"/>
    <s v="Drishya Walia"/>
    <x v="199"/>
    <x v="19"/>
    <s v="India"/>
    <s v="Direct"/>
    <s v="Net Banking"/>
    <n v="50365"/>
  </r>
  <r>
    <x v="525"/>
    <s v="E-Reader"/>
    <n v="1"/>
    <n v="5278"/>
    <s v="2024-06-23"/>
    <s v="Vanya Khalsa"/>
    <x v="45"/>
    <x v="19"/>
    <s v="India"/>
    <s v="Store"/>
    <s v="Cash"/>
    <n v="5278"/>
  </r>
  <r>
    <x v="526"/>
    <s v="E-Reader"/>
    <n v="3"/>
    <n v="13531"/>
    <s v="2023-11-19"/>
    <s v="Hridaan Koshy"/>
    <x v="154"/>
    <x v="20"/>
    <s v="India"/>
    <s v="Online"/>
    <s v="Credit Card"/>
    <n v="40593"/>
  </r>
  <r>
    <x v="527"/>
    <s v="External Hard Drive"/>
    <n v="8"/>
    <n v="5530"/>
    <s v="2024-01-08"/>
    <s v="Hansh Madan"/>
    <x v="112"/>
    <x v="9"/>
    <s v="India"/>
    <s v="Direct"/>
    <s v="Debit Card"/>
    <n v="44240"/>
  </r>
  <r>
    <x v="528"/>
    <s v="External Hard Drive"/>
    <n v="8"/>
    <n v="10025"/>
    <s v="2023-11-16"/>
    <s v="Dhruv Rajan"/>
    <x v="50"/>
    <x v="16"/>
    <s v="India"/>
    <s v="Store"/>
    <s v="Credit Card"/>
    <n v="80200"/>
  </r>
  <r>
    <x v="529"/>
    <s v="Smartwatch"/>
    <n v="3"/>
    <n v="11906"/>
    <s v="2024-02-06"/>
    <s v="Jayesh Sethi"/>
    <x v="22"/>
    <x v="19"/>
    <s v="India"/>
    <s v="Store"/>
    <s v="UPI"/>
    <n v="35718"/>
  </r>
  <r>
    <x v="530"/>
    <s v="Headphones"/>
    <n v="7"/>
    <n v="9208"/>
    <s v="2024-03-22"/>
    <s v="Kavya Majumdar"/>
    <x v="198"/>
    <x v="27"/>
    <s v="India"/>
    <s v="Store"/>
    <s v="Cash"/>
    <n v="64456"/>
  </r>
  <r>
    <x v="531"/>
    <s v="Tablet"/>
    <n v="2"/>
    <n v="11414"/>
    <s v="2024-05-26"/>
    <s v="Badal Yadav"/>
    <x v="167"/>
    <x v="27"/>
    <s v="India"/>
    <s v="Direct"/>
    <s v="Credit Card"/>
    <n v="22828"/>
  </r>
  <r>
    <x v="532"/>
    <s v="E-Reader"/>
    <n v="4"/>
    <n v="8430"/>
    <s v="2024-05-29"/>
    <s v="Badal Dara"/>
    <x v="21"/>
    <x v="23"/>
    <s v="India"/>
    <s v="Online"/>
    <s v="UPI"/>
    <n v="33720"/>
  </r>
  <r>
    <x v="533"/>
    <s v="Camera"/>
    <n v="8"/>
    <n v="11339"/>
    <s v="2024-07-26"/>
    <s v="Lakshay Kadakia"/>
    <x v="174"/>
    <x v="8"/>
    <s v="India"/>
    <s v="Store"/>
    <s v="UPI"/>
    <n v="90712"/>
  </r>
  <r>
    <x v="534"/>
    <s v="Printer"/>
    <n v="1"/>
    <n v="6564"/>
    <s v="2023-12-19"/>
    <s v="Ranbir Wason"/>
    <x v="191"/>
    <x v="12"/>
    <s v="India"/>
    <s v="Direct"/>
    <s v="Debit Card"/>
    <n v="6564"/>
  </r>
  <r>
    <x v="535"/>
    <s v="Smartwatch"/>
    <n v="6"/>
    <n v="11791"/>
    <s v="2023-10-09"/>
    <s v="Pari Badami"/>
    <x v="50"/>
    <x v="25"/>
    <s v="India"/>
    <s v="Direct"/>
    <s v="Credit Card"/>
    <n v="70746"/>
  </r>
  <r>
    <x v="536"/>
    <s v="Printer"/>
    <n v="5"/>
    <n v="6868"/>
    <s v="2023-12-15"/>
    <s v="Indrans Raman"/>
    <x v="187"/>
    <x v="20"/>
    <s v="India"/>
    <s v="Direct"/>
    <s v="UPI"/>
    <n v="34340"/>
  </r>
  <r>
    <x v="537"/>
    <s v="Desktop PC"/>
    <n v="6"/>
    <n v="6980"/>
    <s v="2024-08-15"/>
    <s v="Yuvaan Dar"/>
    <x v="104"/>
    <x v="19"/>
    <s v="India"/>
    <s v="Direct"/>
    <s v="Net Banking"/>
    <n v="41880"/>
  </r>
  <r>
    <x v="538"/>
    <s v="Smartphone"/>
    <n v="6"/>
    <n v="11373"/>
    <s v="2023-10-01"/>
    <s v="Bhavin Bobal"/>
    <x v="106"/>
    <x v="4"/>
    <s v="India"/>
    <s v="Online"/>
    <s v="UPI"/>
    <n v="68238"/>
  </r>
  <r>
    <x v="539"/>
    <s v="Printer"/>
    <n v="4"/>
    <n v="17165"/>
    <s v="2024-03-03"/>
    <s v="Samaira Ravel"/>
    <x v="95"/>
    <x v="0"/>
    <s v="India"/>
    <s v="Store"/>
    <s v="Cash"/>
    <n v="68660"/>
  </r>
  <r>
    <x v="540"/>
    <s v="Camera"/>
    <n v="9"/>
    <n v="2603"/>
    <s v="2024-01-13"/>
    <s v="Abram Anne"/>
    <x v="202"/>
    <x v="4"/>
    <s v="India"/>
    <s v="Store"/>
    <s v="Cash"/>
    <n v="23427"/>
  </r>
  <r>
    <x v="541"/>
    <s v="Printer"/>
    <n v="1"/>
    <n v="8234"/>
    <s v="2024-03-01"/>
    <s v="Aayush Yohannan"/>
    <x v="137"/>
    <x v="25"/>
    <s v="India"/>
    <s v="Store"/>
    <s v="UPI"/>
    <n v="8234"/>
  </r>
  <r>
    <x v="542"/>
    <s v="Tablet"/>
    <n v="2"/>
    <n v="13802"/>
    <s v="2024-03-03"/>
    <s v="Yakshit Khare"/>
    <x v="217"/>
    <x v="12"/>
    <s v="India"/>
    <s v="Direct"/>
    <s v="UPI"/>
    <n v="27604"/>
  </r>
  <r>
    <x v="543"/>
    <s v="Desktop PC"/>
    <n v="6"/>
    <n v="8066"/>
    <s v="2024-04-16"/>
    <s v="Nakul Batra"/>
    <x v="255"/>
    <x v="10"/>
    <s v="India"/>
    <s v="Online"/>
    <s v="Cash"/>
    <n v="48396"/>
  </r>
  <r>
    <x v="544"/>
    <s v="Headphones"/>
    <n v="5"/>
    <n v="12463"/>
    <s v="2023-10-26"/>
    <s v="Anya Saha"/>
    <x v="256"/>
    <x v="16"/>
    <s v="India"/>
    <s v="Store"/>
    <s v="Debit Card"/>
    <n v="62315"/>
  </r>
  <r>
    <x v="545"/>
    <s v="Camera"/>
    <n v="2"/>
    <n v="12001"/>
    <s v="2024-05-30"/>
    <s v="Ela Rout"/>
    <x v="59"/>
    <x v="25"/>
    <s v="India"/>
    <s v="Direct"/>
    <s v="Debit Card"/>
    <n v="24002"/>
  </r>
  <r>
    <x v="546"/>
    <s v="Desktop PC"/>
    <n v="6"/>
    <n v="9992"/>
    <s v="2024-05-14"/>
    <s v="Jayant Kade"/>
    <x v="16"/>
    <x v="13"/>
    <s v="India"/>
    <s v="Direct"/>
    <s v="Net Banking"/>
    <n v="59952"/>
  </r>
  <r>
    <x v="547"/>
    <s v="Camera"/>
    <n v="1"/>
    <n v="17347"/>
    <s v="2024-05-25"/>
    <s v="Charvi Sura"/>
    <x v="257"/>
    <x v="21"/>
    <s v="India"/>
    <s v="Online"/>
    <s v="Debit Card"/>
    <n v="17347"/>
  </r>
  <r>
    <x v="548"/>
    <s v="Printer"/>
    <n v="7"/>
    <n v="10393"/>
    <s v="2024-02-15"/>
    <s v="Samarth Saxena"/>
    <x v="155"/>
    <x v="14"/>
    <s v="India"/>
    <s v="Store"/>
    <s v="Cash"/>
    <n v="72751"/>
  </r>
  <r>
    <x v="549"/>
    <s v="Laptop"/>
    <n v="9"/>
    <n v="14079"/>
    <s v="2023-11-10"/>
    <s v="Nirvaan Sibal"/>
    <x v="125"/>
    <x v="1"/>
    <s v="India"/>
    <s v="Online"/>
    <s v="Cash"/>
    <n v="126711"/>
  </r>
  <r>
    <x v="550"/>
    <s v="Tablet"/>
    <n v="9"/>
    <n v="4096"/>
    <s v="2023-12-12"/>
    <s v="Azad Gaba"/>
    <x v="177"/>
    <x v="24"/>
    <s v="India"/>
    <s v="Store"/>
    <s v="Net Banking"/>
    <n v="36864"/>
  </r>
  <r>
    <x v="551"/>
    <s v="Laptop"/>
    <n v="7"/>
    <n v="4366"/>
    <s v="2024-02-29"/>
    <s v="Abram Vasa"/>
    <x v="185"/>
    <x v="0"/>
    <s v="India"/>
    <s v="Store"/>
    <s v="Net Banking"/>
    <n v="30562"/>
  </r>
  <r>
    <x v="552"/>
    <s v="Camera"/>
    <n v="4"/>
    <n v="17304"/>
    <s v="2024-02-10"/>
    <s v="Shalv Wason"/>
    <x v="19"/>
    <x v="20"/>
    <s v="India"/>
    <s v="Store"/>
    <s v="UPI"/>
    <n v="69216"/>
  </r>
  <r>
    <x v="553"/>
    <s v="Printer"/>
    <n v="5"/>
    <n v="5077"/>
    <s v="2024-01-28"/>
    <s v="Anay Sandhu"/>
    <x v="147"/>
    <x v="4"/>
    <s v="India"/>
    <s v="Direct"/>
    <s v="Cash"/>
    <n v="25385"/>
  </r>
  <r>
    <x v="554"/>
    <s v="Desktop PC"/>
    <n v="5"/>
    <n v="9777"/>
    <s v="2024-05-31"/>
    <s v="Urvi Raja"/>
    <x v="71"/>
    <x v="19"/>
    <s v="India"/>
    <s v="Direct"/>
    <s v="Debit Card"/>
    <n v="48885"/>
  </r>
  <r>
    <x v="555"/>
    <s v="E-Reader"/>
    <n v="4"/>
    <n v="2055"/>
    <s v="2024-05-05"/>
    <s v="Uthkarsh Chaudhari"/>
    <x v="214"/>
    <x v="26"/>
    <s v="India"/>
    <s v="Direct"/>
    <s v="Cash"/>
    <n v="8220"/>
  </r>
  <r>
    <x v="556"/>
    <s v="Camera"/>
    <n v="7"/>
    <n v="9644"/>
    <s v="2024-09-15"/>
    <s v="Navya Raman"/>
    <x v="208"/>
    <x v="18"/>
    <s v="India"/>
    <s v="Direct"/>
    <s v="Net Banking"/>
    <n v="67508"/>
  </r>
  <r>
    <x v="557"/>
    <s v="Camera"/>
    <n v="6"/>
    <n v="4086"/>
    <s v="2024-01-12"/>
    <s v="Damini Lala"/>
    <x v="251"/>
    <x v="2"/>
    <s v="India"/>
    <s v="Direct"/>
    <s v="Net Banking"/>
    <n v="24516"/>
  </r>
  <r>
    <x v="558"/>
    <s v="Desktop PC"/>
    <n v="9"/>
    <n v="14849"/>
    <s v="2023-09-24"/>
    <s v="Sara Rastogi"/>
    <x v="92"/>
    <x v="24"/>
    <s v="India"/>
    <s v="Online"/>
    <s v="UPI"/>
    <n v="133641"/>
  </r>
  <r>
    <x v="559"/>
    <s v="Smartphone"/>
    <n v="2"/>
    <n v="4312"/>
    <s v="2024-03-16"/>
    <s v="Vardaniya Sathe"/>
    <x v="155"/>
    <x v="11"/>
    <s v="India"/>
    <s v="Online"/>
    <s v="UPI"/>
    <n v="8624"/>
  </r>
  <r>
    <x v="560"/>
    <s v="Smartwatch"/>
    <n v="4"/>
    <n v="7442"/>
    <s v="2024-06-16"/>
    <s v="Prisha Divan"/>
    <x v="118"/>
    <x v="20"/>
    <s v="India"/>
    <s v="Direct"/>
    <s v="Debit Card"/>
    <n v="29768"/>
  </r>
  <r>
    <x v="561"/>
    <s v="Desktop PC"/>
    <n v="9"/>
    <n v="17627"/>
    <s v="2024-06-07"/>
    <s v="Nirvi Randhawa"/>
    <x v="87"/>
    <x v="24"/>
    <s v="India"/>
    <s v="Online"/>
    <s v="UPI"/>
    <n v="158643"/>
  </r>
  <r>
    <x v="562"/>
    <s v="Printer"/>
    <n v="2"/>
    <n v="5466"/>
    <s v="2024-09-22"/>
    <s v="Pranay Ram"/>
    <x v="258"/>
    <x v="18"/>
    <s v="India"/>
    <s v="Online"/>
    <s v="Net Banking"/>
    <n v="10932"/>
  </r>
  <r>
    <x v="563"/>
    <s v="Printer"/>
    <n v="6"/>
    <n v="6116"/>
    <s v="2024-06-17"/>
    <s v="Emir Chakraborty"/>
    <x v="256"/>
    <x v="2"/>
    <s v="India"/>
    <s v="Store"/>
    <s v="Cash"/>
    <n v="36696"/>
  </r>
  <r>
    <x v="564"/>
    <s v="Laptop"/>
    <n v="9"/>
    <n v="11316"/>
    <s v="2023-12-23"/>
    <s v="Hridaan Dugar"/>
    <x v="110"/>
    <x v="22"/>
    <s v="India"/>
    <s v="Store"/>
    <s v="Cash"/>
    <n v="101844"/>
  </r>
  <r>
    <x v="565"/>
    <s v="Desktop PC"/>
    <n v="1"/>
    <n v="7902"/>
    <s v="2024-01-12"/>
    <s v="Vihaan Loyal"/>
    <x v="65"/>
    <x v="17"/>
    <s v="India"/>
    <s v="Online"/>
    <s v="Debit Card"/>
    <n v="7902"/>
  </r>
  <r>
    <x v="566"/>
    <s v="Smartwatch"/>
    <n v="4"/>
    <n v="5704"/>
    <s v="2024-02-16"/>
    <s v="Miraan Sachdeva"/>
    <x v="41"/>
    <x v="3"/>
    <s v="India"/>
    <s v="Store"/>
    <s v="Credit Card"/>
    <n v="22816"/>
  </r>
  <r>
    <x v="567"/>
    <s v="External Hard Drive"/>
    <n v="8"/>
    <n v="2052"/>
    <s v="2024-01-28"/>
    <s v="Purab Varkey"/>
    <x v="19"/>
    <x v="21"/>
    <s v="India"/>
    <s v="Online"/>
    <s v="Cash"/>
    <n v="16416"/>
  </r>
  <r>
    <x v="568"/>
    <s v="Camera"/>
    <n v="2"/>
    <n v="10647"/>
    <s v="2024-07-25"/>
    <s v="Kashvi Zachariah"/>
    <x v="259"/>
    <x v="18"/>
    <s v="India"/>
    <s v="Direct"/>
    <s v="Debit Card"/>
    <n v="21294"/>
  </r>
  <r>
    <x v="569"/>
    <s v="Tablet"/>
    <n v="8"/>
    <n v="18029"/>
    <s v="2024-06-04"/>
    <s v="Ranbir Ranganathan"/>
    <x v="147"/>
    <x v="23"/>
    <s v="India"/>
    <s v="Store"/>
    <s v="UPI"/>
    <n v="144232"/>
  </r>
  <r>
    <x v="570"/>
    <s v="Tablet"/>
    <n v="9"/>
    <n v="11842"/>
    <s v="2024-01-04"/>
    <s v="Zoya Swamy"/>
    <x v="257"/>
    <x v="9"/>
    <s v="India"/>
    <s v="Direct"/>
    <s v="Debit Card"/>
    <n v="106578"/>
  </r>
  <r>
    <x v="571"/>
    <s v="Camera"/>
    <n v="1"/>
    <n v="19134"/>
    <s v="2024-01-21"/>
    <s v="Eshani Kari"/>
    <x v="19"/>
    <x v="18"/>
    <s v="India"/>
    <s v="Online"/>
    <s v="Cash"/>
    <n v="19134"/>
  </r>
  <r>
    <x v="572"/>
    <s v="Laptop"/>
    <n v="8"/>
    <n v="2819"/>
    <s v="2023-12-15"/>
    <s v="Ela Khalsa"/>
    <x v="260"/>
    <x v="23"/>
    <s v="India"/>
    <s v="Store"/>
    <s v="Cash"/>
    <n v="22552"/>
  </r>
  <r>
    <x v="573"/>
    <s v="Desktop PC"/>
    <n v="6"/>
    <n v="9200"/>
    <s v="2024-05-03"/>
    <s v="Lavanya Swamy"/>
    <x v="148"/>
    <x v="11"/>
    <s v="India"/>
    <s v="Direct"/>
    <s v="UPI"/>
    <n v="55200"/>
  </r>
  <r>
    <x v="574"/>
    <s v="External Hard Drive"/>
    <n v="7"/>
    <n v="6870"/>
    <s v="2023-11-15"/>
    <s v="Divit Dhingra"/>
    <x v="35"/>
    <x v="24"/>
    <s v="India"/>
    <s v="Online"/>
    <s v="Cash"/>
    <n v="48090"/>
  </r>
  <r>
    <x v="575"/>
    <s v="Camera"/>
    <n v="9"/>
    <n v="3099"/>
    <s v="2024-09-12"/>
    <s v="Kismat Banik"/>
    <x v="36"/>
    <x v="3"/>
    <s v="India"/>
    <s v="Online"/>
    <s v="Cash"/>
    <n v="27891"/>
  </r>
  <r>
    <x v="576"/>
    <s v="E-Reader"/>
    <n v="8"/>
    <n v="4556"/>
    <s v="2024-04-27"/>
    <s v="Adira Krish"/>
    <x v="176"/>
    <x v="14"/>
    <s v="India"/>
    <s v="Store"/>
    <s v="Debit Card"/>
    <n v="36448"/>
  </r>
  <r>
    <x v="577"/>
    <s v="Printer"/>
    <n v="6"/>
    <n v="7830"/>
    <s v="2023-12-15"/>
    <s v="Umang Saraf"/>
    <x v="261"/>
    <x v="12"/>
    <s v="India"/>
    <s v="Online"/>
    <s v="Debit Card"/>
    <n v="46980"/>
  </r>
  <r>
    <x v="578"/>
    <s v="Smartphone"/>
    <n v="2"/>
    <n v="13048"/>
    <s v="2023-10-07"/>
    <s v="Parinaaz Bhakta"/>
    <x v="136"/>
    <x v="21"/>
    <s v="India"/>
    <s v="Direct"/>
    <s v="Cash"/>
    <n v="26096"/>
  </r>
  <r>
    <x v="579"/>
    <s v="Desktop PC"/>
    <n v="1"/>
    <n v="15196"/>
    <s v="2024-04-27"/>
    <s v="Romil Varty"/>
    <x v="195"/>
    <x v="17"/>
    <s v="India"/>
    <s v="Store"/>
    <s v="Debit Card"/>
    <n v="15196"/>
  </r>
  <r>
    <x v="580"/>
    <s v="Printer"/>
    <n v="1"/>
    <n v="3477"/>
    <s v="2024-08-02"/>
    <s v="Miraya Manda"/>
    <x v="24"/>
    <x v="19"/>
    <s v="India"/>
    <s v="Online"/>
    <s v="Net Banking"/>
    <n v="34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99E1EF-63FB-4826-844E-825D70C55876}" name="Rohan" cacheId="2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A3:B15" firstHeaderRow="1" firstDataRow="1" firstDataCol="1"/>
  <pivotFields count="9">
    <pivotField numFmtId="14" showAll="0"/>
    <pivotField name="Region" showAll="0">
      <items count="5">
        <item sd="0" x="0"/>
        <item sd="0" x="3"/>
        <item sd="0" x="2"/>
        <item sd="0" x="1"/>
        <item t="default" sd="0"/>
      </items>
    </pivotField>
    <pivotField showAll="0">
      <items count="5">
        <item x="0"/>
        <item x="2"/>
        <item x="3"/>
        <item x="1"/>
        <item t="default"/>
      </items>
    </pivotField>
    <pivotField axis="axisRow" showAll="0">
      <items count="12">
        <item x="3"/>
        <item x="7"/>
        <item x="9"/>
        <item x="0"/>
        <item x="6"/>
        <item x="4"/>
        <item x="10"/>
        <item x="2"/>
        <item x="5"/>
        <item x="1"/>
        <item x="8"/>
        <item t="default"/>
      </items>
    </pivotField>
    <pivotField showAll="0">
      <items count="6">
        <item x="3"/>
        <item x="0"/>
        <item x="2"/>
        <item x="4"/>
        <item x="1"/>
        <item t="default"/>
      </items>
    </pivotField>
    <pivotField dataField="1" showAll="0"/>
    <pivotField showAll="0"/>
    <pivotField showAll="0"/>
    <pivotField showAll="0"/>
  </pivotFields>
  <rowFields count="1">
    <field x="3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Units" fld="5" baseField="2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50E78-A31F-4F54-9504-53F37D093E96}" name="PivotTable4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32" firstHeaderRow="1" firstDataRow="1" firstDataCol="1"/>
  <pivotFields count="12">
    <pivotField dataField="1" showAll="0">
      <items count="5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t="default"/>
      </items>
    </pivotField>
    <pivotField showAll="0"/>
    <pivotField showAll="0"/>
    <pivotField showAll="0"/>
    <pivotField showAll="0"/>
    <pivotField showAll="0"/>
    <pivotField showAll="0">
      <items count="263">
        <item x="47"/>
        <item x="258"/>
        <item x="160"/>
        <item x="144"/>
        <item x="136"/>
        <item x="53"/>
        <item x="216"/>
        <item x="97"/>
        <item x="55"/>
        <item x="141"/>
        <item x="74"/>
        <item x="67"/>
        <item x="142"/>
        <item x="243"/>
        <item x="147"/>
        <item x="106"/>
        <item x="72"/>
        <item x="80"/>
        <item x="15"/>
        <item x="248"/>
        <item x="225"/>
        <item x="191"/>
        <item x="256"/>
        <item x="84"/>
        <item x="208"/>
        <item x="223"/>
        <item x="96"/>
        <item x="213"/>
        <item x="182"/>
        <item x="34"/>
        <item x="139"/>
        <item x="75"/>
        <item x="0"/>
        <item x="38"/>
        <item x="218"/>
        <item x="90"/>
        <item x="259"/>
        <item x="36"/>
        <item x="157"/>
        <item x="83"/>
        <item x="45"/>
        <item x="24"/>
        <item x="82"/>
        <item x="197"/>
        <item x="103"/>
        <item x="207"/>
        <item x="241"/>
        <item x="107"/>
        <item x="70"/>
        <item x="127"/>
        <item x="215"/>
        <item x="6"/>
        <item x="91"/>
        <item x="105"/>
        <item x="21"/>
        <item x="68"/>
        <item x="150"/>
        <item x="183"/>
        <item x="46"/>
        <item x="252"/>
        <item x="50"/>
        <item x="221"/>
        <item x="170"/>
        <item x="98"/>
        <item x="29"/>
        <item x="102"/>
        <item x="115"/>
        <item x="79"/>
        <item x="19"/>
        <item x="109"/>
        <item x="240"/>
        <item x="154"/>
        <item x="179"/>
        <item x="89"/>
        <item x="48"/>
        <item x="120"/>
        <item x="244"/>
        <item x="3"/>
        <item x="199"/>
        <item x="186"/>
        <item x="27"/>
        <item x="51"/>
        <item x="228"/>
        <item x="253"/>
        <item x="172"/>
        <item x="140"/>
        <item x="9"/>
        <item x="229"/>
        <item x="122"/>
        <item x="95"/>
        <item x="125"/>
        <item x="187"/>
        <item x="189"/>
        <item x="137"/>
        <item x="201"/>
        <item x="49"/>
        <item x="101"/>
        <item x="66"/>
        <item x="227"/>
        <item x="175"/>
        <item x="159"/>
        <item x="33"/>
        <item x="58"/>
        <item x="174"/>
        <item x="71"/>
        <item x="167"/>
        <item x="61"/>
        <item x="13"/>
        <item x="219"/>
        <item x="92"/>
        <item x="246"/>
        <item x="158"/>
        <item x="63"/>
        <item x="85"/>
        <item x="12"/>
        <item x="156"/>
        <item x="133"/>
        <item x="211"/>
        <item x="40"/>
        <item x="8"/>
        <item x="86"/>
        <item x="233"/>
        <item x="110"/>
        <item x="94"/>
        <item x="161"/>
        <item x="31"/>
        <item x="220"/>
        <item x="217"/>
        <item x="23"/>
        <item x="118"/>
        <item x="76"/>
        <item x="230"/>
        <item x="251"/>
        <item x="204"/>
        <item x="99"/>
        <item x="26"/>
        <item x="209"/>
        <item x="164"/>
        <item x="114"/>
        <item x="192"/>
        <item x="190"/>
        <item x="169"/>
        <item x="198"/>
        <item x="249"/>
        <item x="134"/>
        <item x="250"/>
        <item x="212"/>
        <item x="124"/>
        <item x="232"/>
        <item x="152"/>
        <item x="121"/>
        <item x="236"/>
        <item x="257"/>
        <item x="22"/>
        <item x="224"/>
        <item x="195"/>
        <item x="16"/>
        <item x="130"/>
        <item x="226"/>
        <item x="261"/>
        <item x="185"/>
        <item x="113"/>
        <item x="177"/>
        <item x="200"/>
        <item x="222"/>
        <item x="88"/>
        <item x="104"/>
        <item x="210"/>
        <item x="234"/>
        <item x="43"/>
        <item x="238"/>
        <item x="203"/>
        <item x="69"/>
        <item x="135"/>
        <item x="242"/>
        <item x="30"/>
        <item x="35"/>
        <item x="206"/>
        <item x="165"/>
        <item x="1"/>
        <item x="2"/>
        <item x="254"/>
        <item x="196"/>
        <item x="176"/>
        <item x="20"/>
        <item x="231"/>
        <item x="202"/>
        <item x="162"/>
        <item x="180"/>
        <item x="10"/>
        <item x="138"/>
        <item x="44"/>
        <item x="59"/>
        <item x="178"/>
        <item x="54"/>
        <item x="37"/>
        <item x="117"/>
        <item x="5"/>
        <item x="131"/>
        <item x="77"/>
        <item x="129"/>
        <item x="166"/>
        <item x="108"/>
        <item x="116"/>
        <item x="205"/>
        <item x="260"/>
        <item x="168"/>
        <item x="237"/>
        <item x="145"/>
        <item x="184"/>
        <item x="188"/>
        <item x="146"/>
        <item x="126"/>
        <item x="93"/>
        <item x="41"/>
        <item x="132"/>
        <item x="52"/>
        <item x="11"/>
        <item x="57"/>
        <item x="155"/>
        <item x="245"/>
        <item x="32"/>
        <item x="235"/>
        <item x="78"/>
        <item x="42"/>
        <item x="87"/>
        <item x="123"/>
        <item x="100"/>
        <item x="39"/>
        <item x="62"/>
        <item x="163"/>
        <item x="7"/>
        <item x="151"/>
        <item x="73"/>
        <item x="4"/>
        <item x="149"/>
        <item x="17"/>
        <item x="247"/>
        <item x="128"/>
        <item x="81"/>
        <item x="119"/>
        <item x="214"/>
        <item x="193"/>
        <item x="255"/>
        <item x="18"/>
        <item x="56"/>
        <item x="25"/>
        <item x="194"/>
        <item x="173"/>
        <item x="148"/>
        <item x="112"/>
        <item x="239"/>
        <item x="14"/>
        <item x="65"/>
        <item x="181"/>
        <item x="171"/>
        <item x="111"/>
        <item x="143"/>
        <item x="28"/>
        <item x="64"/>
        <item x="60"/>
        <item x="153"/>
        <item t="default"/>
      </items>
    </pivotField>
    <pivotField axis="axisRow" showAll="0">
      <items count="29">
        <item x="13"/>
        <item x="0"/>
        <item x="8"/>
        <item x="2"/>
        <item x="20"/>
        <item x="6"/>
        <item x="14"/>
        <item x="25"/>
        <item x="21"/>
        <item x="24"/>
        <item x="11"/>
        <item x="16"/>
        <item x="4"/>
        <item x="27"/>
        <item x="3"/>
        <item x="5"/>
        <item x="17"/>
        <item x="18"/>
        <item x="1"/>
        <item x="7"/>
        <item x="22"/>
        <item x="9"/>
        <item x="26"/>
        <item x="15"/>
        <item x="10"/>
        <item x="12"/>
        <item x="19"/>
        <item x="23"/>
        <item t="default"/>
      </items>
    </pivotField>
    <pivotField showAll="0"/>
    <pivotField showAll="0"/>
    <pivotField showAll="0"/>
    <pivotField showAll="0"/>
  </pivotFields>
  <rowFields count="1">
    <field x="7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Count of Transaction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C9872C-5CD0-4AB7-AFA1-DEEE88E23C5D}" name="Table2" displayName="Table2" ref="A1:I44" totalsRowShown="0" headerRowDxfId="2">
  <autoFilter ref="A1:I44" xr:uid="{93E7FF62-FF60-470D-9103-595FBBCCD11C}"/>
  <tableColumns count="9">
    <tableColumn id="1" xr3:uid="{D89F0BC3-F69E-4B85-B194-3956677780A8}" name="OrderDate" dataDxfId="1"/>
    <tableColumn id="2" xr3:uid="{09EB299C-FF52-45C1-8840-2F21B1B2EDE4}" name="Region"/>
    <tableColumn id="3" xr3:uid="{F517B627-EFB0-410F-85FE-9F441D81A143}" name="Manager"/>
    <tableColumn id="4" xr3:uid="{DAF61BEF-9806-4339-A6E8-3CB7F6024180}" name="SalesMan"/>
    <tableColumn id="5" xr3:uid="{67C7A84A-38BF-4903-94F8-C7AFB02ABFA5}" name="Item"/>
    <tableColumn id="6" xr3:uid="{A66AFD59-41B3-49AF-A08F-905FCAEF6EBF}" name="Units"/>
    <tableColumn id="7" xr3:uid="{B0D6757E-5B3B-424B-8AAC-380D6555C57F}" name="Unit_price"/>
    <tableColumn id="8" xr3:uid="{3D0E4D06-19B3-416E-868B-650FB6E54953}" name="Sale_amt"/>
    <tableColumn id="9" xr3:uid="{B853B217-BD32-47BD-ADF9-2AC848820565}" name="Payment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..\Excel%20PDF%20Notes\Excel%20Day%201%20Notes.pdf" TargetMode="External"/><Relationship Id="rId1" Type="http://schemas.openxmlformats.org/officeDocument/2006/relationships/hyperlink" Target="https://www.faceboo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zoomScale="115" zoomScaleNormal="115" workbookViewId="0">
      <selection activeCell="J5" sqref="J5"/>
    </sheetView>
  </sheetViews>
  <sheetFormatPr defaultRowHeight="14.4" x14ac:dyDescent="0.3"/>
  <cols>
    <col min="1" max="1" width="6" bestFit="1" customWidth="1"/>
    <col min="2" max="2" width="12" bestFit="1" customWidth="1"/>
    <col min="3" max="3" width="18.5546875" bestFit="1" customWidth="1"/>
    <col min="4" max="4" width="10.77734375" bestFit="1" customWidth="1"/>
    <col min="5" max="5" width="11.5546875" bestFit="1" customWidth="1"/>
    <col min="6" max="6" width="15.33203125" customWidth="1"/>
    <col min="7" max="7" width="10.88671875" bestFit="1" customWidth="1"/>
  </cols>
  <sheetData>
    <row r="1" spans="1:6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2</v>
      </c>
    </row>
    <row r="2" spans="1:6" x14ac:dyDescent="0.3">
      <c r="A2">
        <v>1</v>
      </c>
      <c r="B2" t="s">
        <v>5</v>
      </c>
      <c r="C2" t="s">
        <v>6</v>
      </c>
      <c r="D2" t="s">
        <v>7</v>
      </c>
      <c r="E2" t="s">
        <v>8</v>
      </c>
      <c r="F2" t="s">
        <v>272</v>
      </c>
    </row>
    <row r="3" spans="1:6" x14ac:dyDescent="0.3">
      <c r="A3">
        <v>2</v>
      </c>
      <c r="B3" t="s">
        <v>256</v>
      </c>
      <c r="C3" t="s">
        <v>9</v>
      </c>
      <c r="D3" t="s">
        <v>10</v>
      </c>
      <c r="E3" t="s">
        <v>11</v>
      </c>
      <c r="F3" t="s">
        <v>273</v>
      </c>
    </row>
    <row r="4" spans="1:6" x14ac:dyDescent="0.3">
      <c r="A4">
        <v>3</v>
      </c>
      <c r="B4" t="s">
        <v>12</v>
      </c>
      <c r="C4" t="s">
        <v>13</v>
      </c>
      <c r="D4" t="s">
        <v>14</v>
      </c>
      <c r="E4" t="s">
        <v>15</v>
      </c>
      <c r="F4" t="s">
        <v>274</v>
      </c>
    </row>
    <row r="5" spans="1:6" x14ac:dyDescent="0.3">
      <c r="A5">
        <v>4</v>
      </c>
      <c r="B5" t="s">
        <v>16</v>
      </c>
      <c r="C5" t="s">
        <v>17</v>
      </c>
      <c r="D5" t="s">
        <v>18</v>
      </c>
      <c r="E5" t="s">
        <v>19</v>
      </c>
      <c r="F5" t="s">
        <v>275</v>
      </c>
    </row>
    <row r="6" spans="1:6" x14ac:dyDescent="0.3">
      <c r="A6">
        <v>5</v>
      </c>
      <c r="B6" t="s">
        <v>20</v>
      </c>
      <c r="C6" t="s">
        <v>21</v>
      </c>
      <c r="D6" t="s">
        <v>22</v>
      </c>
      <c r="E6" t="s">
        <v>23</v>
      </c>
      <c r="F6" t="s">
        <v>276</v>
      </c>
    </row>
    <row r="7" spans="1:6" x14ac:dyDescent="0.3">
      <c r="A7">
        <v>6</v>
      </c>
      <c r="B7" t="s">
        <v>24</v>
      </c>
      <c r="C7" t="s">
        <v>25</v>
      </c>
      <c r="D7" t="s">
        <v>26</v>
      </c>
      <c r="E7" t="s">
        <v>27</v>
      </c>
      <c r="F7" t="s">
        <v>277</v>
      </c>
    </row>
    <row r="8" spans="1:6" x14ac:dyDescent="0.3">
      <c r="A8">
        <v>7</v>
      </c>
      <c r="B8" t="s">
        <v>28</v>
      </c>
      <c r="C8" t="s">
        <v>29</v>
      </c>
      <c r="D8" t="s">
        <v>30</v>
      </c>
      <c r="E8" t="s">
        <v>31</v>
      </c>
      <c r="F8" t="s">
        <v>278</v>
      </c>
    </row>
    <row r="9" spans="1:6" x14ac:dyDescent="0.3">
      <c r="A9">
        <v>8</v>
      </c>
      <c r="B9" t="s">
        <v>32</v>
      </c>
      <c r="C9" t="s">
        <v>33</v>
      </c>
      <c r="D9" t="s">
        <v>34</v>
      </c>
      <c r="E9" t="s">
        <v>35</v>
      </c>
      <c r="F9" t="s">
        <v>279</v>
      </c>
    </row>
    <row r="10" spans="1:6" x14ac:dyDescent="0.3">
      <c r="A10">
        <v>9</v>
      </c>
      <c r="B10" t="s">
        <v>36</v>
      </c>
      <c r="C10" t="s">
        <v>37</v>
      </c>
      <c r="D10" t="s">
        <v>38</v>
      </c>
      <c r="E10" t="s">
        <v>39</v>
      </c>
      <c r="F10" t="s">
        <v>280</v>
      </c>
    </row>
    <row r="11" spans="1:6" x14ac:dyDescent="0.3">
      <c r="A11">
        <v>10</v>
      </c>
      <c r="B11" t="s">
        <v>40</v>
      </c>
      <c r="C11" t="s">
        <v>41</v>
      </c>
      <c r="D11" t="s">
        <v>42</v>
      </c>
      <c r="E11" t="s">
        <v>43</v>
      </c>
      <c r="F11" t="s">
        <v>281</v>
      </c>
    </row>
    <row r="12" spans="1:6" x14ac:dyDescent="0.3">
      <c r="A12">
        <v>11</v>
      </c>
      <c r="B12" t="s">
        <v>44</v>
      </c>
      <c r="C12" t="s">
        <v>45</v>
      </c>
      <c r="D12" t="s">
        <v>46</v>
      </c>
      <c r="E12" t="s">
        <v>47</v>
      </c>
      <c r="F12" t="s">
        <v>282</v>
      </c>
    </row>
    <row r="13" spans="1:6" x14ac:dyDescent="0.3">
      <c r="A13">
        <v>12</v>
      </c>
      <c r="B13" t="s">
        <v>48</v>
      </c>
      <c r="C13" t="s">
        <v>49</v>
      </c>
      <c r="D13" t="s">
        <v>50</v>
      </c>
      <c r="E13" t="s">
        <v>51</v>
      </c>
      <c r="F13" t="s">
        <v>283</v>
      </c>
    </row>
    <row r="14" spans="1:6" x14ac:dyDescent="0.3">
      <c r="A14">
        <v>13</v>
      </c>
      <c r="B14" t="s">
        <v>52</v>
      </c>
      <c r="C14" t="s">
        <v>53</v>
      </c>
      <c r="D14" t="s">
        <v>54</v>
      </c>
      <c r="E14" t="s">
        <v>55</v>
      </c>
      <c r="F14" t="s">
        <v>284</v>
      </c>
    </row>
    <row r="15" spans="1:6" x14ac:dyDescent="0.3">
      <c r="A15">
        <v>14</v>
      </c>
      <c r="B15" t="s">
        <v>56</v>
      </c>
      <c r="C15" t="s">
        <v>57</v>
      </c>
      <c r="D15" t="s">
        <v>58</v>
      </c>
      <c r="E15" t="s">
        <v>59</v>
      </c>
      <c r="F15" t="s">
        <v>285</v>
      </c>
    </row>
    <row r="16" spans="1:6" x14ac:dyDescent="0.3">
      <c r="A16">
        <v>15</v>
      </c>
      <c r="B16" t="s">
        <v>60</v>
      </c>
      <c r="C16" t="s">
        <v>61</v>
      </c>
      <c r="D16" t="s">
        <v>62</v>
      </c>
      <c r="E16" t="s">
        <v>63</v>
      </c>
      <c r="F16" t="s">
        <v>286</v>
      </c>
    </row>
    <row r="17" spans="1:6" x14ac:dyDescent="0.3">
      <c r="A17">
        <v>16</v>
      </c>
      <c r="B17" t="s">
        <v>64</v>
      </c>
      <c r="C17" t="s">
        <v>65</v>
      </c>
      <c r="D17" t="s">
        <v>66</v>
      </c>
      <c r="E17" t="s">
        <v>67</v>
      </c>
      <c r="F17" t="s">
        <v>287</v>
      </c>
    </row>
    <row r="18" spans="1:6" x14ac:dyDescent="0.3">
      <c r="A18">
        <v>17</v>
      </c>
      <c r="B18" t="s">
        <v>68</v>
      </c>
      <c r="C18" t="s">
        <v>69</v>
      </c>
      <c r="D18" t="s">
        <v>38</v>
      </c>
      <c r="E18" t="s">
        <v>70</v>
      </c>
      <c r="F18" t="s">
        <v>288</v>
      </c>
    </row>
    <row r="19" spans="1:6" x14ac:dyDescent="0.3">
      <c r="A19">
        <v>18</v>
      </c>
      <c r="B19" t="s">
        <v>71</v>
      </c>
      <c r="C19" t="s">
        <v>72</v>
      </c>
      <c r="D19" t="s">
        <v>73</v>
      </c>
      <c r="E19" t="s">
        <v>74</v>
      </c>
      <c r="F19" t="s">
        <v>289</v>
      </c>
    </row>
    <row r="20" spans="1:6" x14ac:dyDescent="0.3">
      <c r="A20">
        <v>19</v>
      </c>
      <c r="B20" t="s">
        <v>75</v>
      </c>
      <c r="C20" t="s">
        <v>76</v>
      </c>
      <c r="D20" t="s">
        <v>77</v>
      </c>
      <c r="E20" t="s">
        <v>78</v>
      </c>
      <c r="F20" t="s">
        <v>290</v>
      </c>
    </row>
    <row r="21" spans="1:6" x14ac:dyDescent="0.3">
      <c r="A21">
        <v>20</v>
      </c>
      <c r="B21" t="s">
        <v>79</v>
      </c>
      <c r="C21" t="s">
        <v>80</v>
      </c>
      <c r="D21" t="s">
        <v>81</v>
      </c>
      <c r="E21" t="s">
        <v>82</v>
      </c>
      <c r="F21" t="s">
        <v>291</v>
      </c>
    </row>
    <row r="22" spans="1:6" x14ac:dyDescent="0.3">
      <c r="A22">
        <v>21</v>
      </c>
      <c r="B22" t="s">
        <v>83</v>
      </c>
      <c r="C22" t="s">
        <v>84</v>
      </c>
      <c r="D22" t="s">
        <v>85</v>
      </c>
      <c r="E22" t="s">
        <v>86</v>
      </c>
      <c r="F22" t="s">
        <v>292</v>
      </c>
    </row>
    <row r="23" spans="1:6" x14ac:dyDescent="0.3">
      <c r="A23">
        <v>22</v>
      </c>
      <c r="B23" t="s">
        <v>87</v>
      </c>
      <c r="C23" t="s">
        <v>88</v>
      </c>
      <c r="D23" t="s">
        <v>89</v>
      </c>
      <c r="E23" t="s">
        <v>90</v>
      </c>
      <c r="F23" t="s">
        <v>293</v>
      </c>
    </row>
    <row r="24" spans="1:6" x14ac:dyDescent="0.3">
      <c r="A24">
        <v>23</v>
      </c>
      <c r="B24" t="s">
        <v>91</v>
      </c>
      <c r="C24" t="s">
        <v>92</v>
      </c>
      <c r="D24" t="s">
        <v>93</v>
      </c>
      <c r="E24" t="s">
        <v>94</v>
      </c>
      <c r="F24" t="s">
        <v>294</v>
      </c>
    </row>
    <row r="25" spans="1:6" x14ac:dyDescent="0.3">
      <c r="A25">
        <v>24</v>
      </c>
      <c r="B25" t="s">
        <v>95</v>
      </c>
      <c r="C25" t="s">
        <v>96</v>
      </c>
      <c r="D25" t="s">
        <v>97</v>
      </c>
      <c r="E25" t="s">
        <v>98</v>
      </c>
      <c r="F25" t="s">
        <v>295</v>
      </c>
    </row>
    <row r="26" spans="1:6" x14ac:dyDescent="0.3">
      <c r="A26">
        <v>25</v>
      </c>
      <c r="B26" t="s">
        <v>99</v>
      </c>
      <c r="C26" t="s">
        <v>100</v>
      </c>
      <c r="D26" t="s">
        <v>101</v>
      </c>
      <c r="E26" t="s">
        <v>102</v>
      </c>
      <c r="F26" t="s">
        <v>296</v>
      </c>
    </row>
    <row r="27" spans="1:6" x14ac:dyDescent="0.3">
      <c r="A27">
        <v>26</v>
      </c>
      <c r="B27" t="s">
        <v>103</v>
      </c>
      <c r="C27" t="s">
        <v>104</v>
      </c>
      <c r="D27" t="s">
        <v>105</v>
      </c>
      <c r="E27" t="s">
        <v>106</v>
      </c>
      <c r="F27" t="s">
        <v>297</v>
      </c>
    </row>
    <row r="28" spans="1:6" x14ac:dyDescent="0.3">
      <c r="A28">
        <v>27</v>
      </c>
      <c r="B28" t="s">
        <v>107</v>
      </c>
      <c r="C28" t="s">
        <v>108</v>
      </c>
      <c r="D28" t="s">
        <v>109</v>
      </c>
      <c r="E28" t="s">
        <v>110</v>
      </c>
      <c r="F28" t="s">
        <v>298</v>
      </c>
    </row>
    <row r="29" spans="1:6" x14ac:dyDescent="0.3">
      <c r="A29">
        <v>28</v>
      </c>
      <c r="B29" t="s">
        <v>111</v>
      </c>
      <c r="C29" t="s">
        <v>112</v>
      </c>
      <c r="D29" t="s">
        <v>113</v>
      </c>
      <c r="E29" t="s">
        <v>114</v>
      </c>
      <c r="F29" t="s">
        <v>299</v>
      </c>
    </row>
    <row r="30" spans="1:6" x14ac:dyDescent="0.3">
      <c r="A30">
        <v>29</v>
      </c>
      <c r="B30" t="s">
        <v>115</v>
      </c>
      <c r="C30" t="s">
        <v>116</v>
      </c>
      <c r="D30" t="s">
        <v>117</v>
      </c>
      <c r="E30" t="s">
        <v>118</v>
      </c>
      <c r="F30" t="s">
        <v>300</v>
      </c>
    </row>
    <row r="31" spans="1:6" x14ac:dyDescent="0.3">
      <c r="A31">
        <v>30</v>
      </c>
      <c r="B31" t="s">
        <v>119</v>
      </c>
      <c r="C31" t="s">
        <v>120</v>
      </c>
      <c r="D31" t="s">
        <v>121</v>
      </c>
      <c r="E31" t="s">
        <v>122</v>
      </c>
      <c r="F31" t="s">
        <v>301</v>
      </c>
    </row>
    <row r="32" spans="1:6" x14ac:dyDescent="0.3">
      <c r="A32">
        <v>31</v>
      </c>
      <c r="B32" t="s">
        <v>123</v>
      </c>
      <c r="C32" t="s">
        <v>124</v>
      </c>
      <c r="D32" t="s">
        <v>125</v>
      </c>
      <c r="E32" t="s">
        <v>126</v>
      </c>
      <c r="F32" t="s">
        <v>302</v>
      </c>
    </row>
    <row r="33" spans="1:6" x14ac:dyDescent="0.3">
      <c r="A33">
        <v>32</v>
      </c>
      <c r="B33" t="s">
        <v>127</v>
      </c>
      <c r="C33" t="s">
        <v>128</v>
      </c>
      <c r="D33" t="s">
        <v>129</v>
      </c>
      <c r="E33" t="s">
        <v>130</v>
      </c>
      <c r="F33" t="s">
        <v>303</v>
      </c>
    </row>
    <row r="34" spans="1:6" x14ac:dyDescent="0.3">
      <c r="A34">
        <v>33</v>
      </c>
      <c r="B34" t="s">
        <v>131</v>
      </c>
      <c r="C34" t="s">
        <v>132</v>
      </c>
      <c r="D34" t="s">
        <v>133</v>
      </c>
      <c r="E34" t="s">
        <v>134</v>
      </c>
      <c r="F34" t="s">
        <v>304</v>
      </c>
    </row>
    <row r="35" spans="1:6" x14ac:dyDescent="0.3">
      <c r="A35">
        <v>34</v>
      </c>
      <c r="B35" t="s">
        <v>135</v>
      </c>
      <c r="C35" t="s">
        <v>136</v>
      </c>
      <c r="D35" t="s">
        <v>137</v>
      </c>
      <c r="E35" t="s">
        <v>138</v>
      </c>
      <c r="F35" t="s">
        <v>305</v>
      </c>
    </row>
    <row r="36" spans="1:6" x14ac:dyDescent="0.3">
      <c r="A36">
        <v>35</v>
      </c>
      <c r="B36" t="s">
        <v>139</v>
      </c>
      <c r="C36" t="s">
        <v>140</v>
      </c>
      <c r="D36" t="s">
        <v>141</v>
      </c>
      <c r="E36" t="s">
        <v>142</v>
      </c>
      <c r="F36" t="s">
        <v>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2E54-FC6C-478E-8152-61A01D05BD92}">
  <dimension ref="A1:B116"/>
  <sheetViews>
    <sheetView zoomScale="160" zoomScaleNormal="160" zoomScalePageLayoutView="115" workbookViewId="0">
      <selection activeCell="E5" sqref="E5"/>
    </sheetView>
  </sheetViews>
  <sheetFormatPr defaultRowHeight="14.4" x14ac:dyDescent="0.3"/>
  <cols>
    <col min="1" max="1" width="29.44140625" bestFit="1" customWidth="1"/>
    <col min="2" max="2" width="13.88671875" bestFit="1" customWidth="1"/>
  </cols>
  <sheetData>
    <row r="1" spans="1:2" x14ac:dyDescent="0.3">
      <c r="A1" s="35" t="s">
        <v>307</v>
      </c>
      <c r="B1" s="35" t="s">
        <v>308</v>
      </c>
    </row>
    <row r="2" spans="1:2" x14ac:dyDescent="0.3">
      <c r="A2" s="34" t="s">
        <v>309</v>
      </c>
      <c r="B2" s="36">
        <v>14800000</v>
      </c>
    </row>
    <row r="3" spans="1:2" x14ac:dyDescent="0.3">
      <c r="A3" s="34" t="s">
        <v>310</v>
      </c>
      <c r="B3" s="36">
        <v>3020000</v>
      </c>
    </row>
    <row r="4" spans="1:2" x14ac:dyDescent="0.3">
      <c r="A4" s="34" t="s">
        <v>311</v>
      </c>
      <c r="B4" s="36">
        <v>21500000</v>
      </c>
    </row>
    <row r="5" spans="1:2" x14ac:dyDescent="0.3">
      <c r="A5" s="34" t="s">
        <v>312</v>
      </c>
      <c r="B5" s="36">
        <v>56200000</v>
      </c>
    </row>
    <row r="6" spans="1:2" x14ac:dyDescent="0.3">
      <c r="A6" s="34" t="s">
        <v>313</v>
      </c>
      <c r="B6" s="36">
        <v>85200</v>
      </c>
    </row>
    <row r="7" spans="1:2" x14ac:dyDescent="0.3">
      <c r="A7" s="34" t="s">
        <v>314</v>
      </c>
      <c r="B7" s="36">
        <v>300000000</v>
      </c>
    </row>
    <row r="8" spans="1:2" x14ac:dyDescent="0.3">
      <c r="A8" s="34" t="s">
        <v>315</v>
      </c>
      <c r="B8" s="36">
        <v>2320000</v>
      </c>
    </row>
    <row r="9" spans="1:2" x14ac:dyDescent="0.3">
      <c r="A9" s="34" t="s">
        <v>316</v>
      </c>
      <c r="B9" s="36">
        <v>296000000</v>
      </c>
    </row>
    <row r="10" spans="1:2" x14ac:dyDescent="0.3">
      <c r="A10" s="34" t="s">
        <v>317</v>
      </c>
      <c r="B10" s="36">
        <v>25400000</v>
      </c>
    </row>
    <row r="11" spans="1:2" x14ac:dyDescent="0.3">
      <c r="A11" s="34" t="s">
        <v>318</v>
      </c>
      <c r="B11" s="36">
        <v>7530000</v>
      </c>
    </row>
    <row r="12" spans="1:2" x14ac:dyDescent="0.3">
      <c r="A12" s="34" t="s">
        <v>319</v>
      </c>
      <c r="B12" s="36">
        <v>3590000</v>
      </c>
    </row>
    <row r="13" spans="1:2" x14ac:dyDescent="0.3">
      <c r="A13" s="34" t="s">
        <v>320</v>
      </c>
      <c r="B13" s="36">
        <v>743000</v>
      </c>
    </row>
    <row r="14" spans="1:2" x14ac:dyDescent="0.3">
      <c r="A14" s="34" t="s">
        <v>321</v>
      </c>
      <c r="B14" s="36">
        <v>66300000</v>
      </c>
    </row>
    <row r="15" spans="1:2" x14ac:dyDescent="0.3">
      <c r="A15" s="34" t="s">
        <v>322</v>
      </c>
      <c r="B15" s="36">
        <v>47300</v>
      </c>
    </row>
    <row r="16" spans="1:2" x14ac:dyDescent="0.3">
      <c r="A16" s="34" t="s">
        <v>323</v>
      </c>
      <c r="B16" s="36">
        <v>29000000</v>
      </c>
    </row>
    <row r="17" spans="1:2" x14ac:dyDescent="0.3">
      <c r="A17" s="34" t="s">
        <v>324</v>
      </c>
      <c r="B17" s="36">
        <v>8920000</v>
      </c>
    </row>
    <row r="18" spans="1:2" x14ac:dyDescent="0.3">
      <c r="A18" s="34" t="s">
        <v>325</v>
      </c>
      <c r="B18" s="36">
        <v>1390000</v>
      </c>
    </row>
    <row r="19" spans="1:2" x14ac:dyDescent="0.3">
      <c r="A19" s="34" t="s">
        <v>326</v>
      </c>
      <c r="B19" s="36">
        <v>9700000</v>
      </c>
    </row>
    <row r="20" spans="1:2" x14ac:dyDescent="0.3">
      <c r="A20" s="34" t="s">
        <v>327</v>
      </c>
      <c r="B20" s="36">
        <v>4000000</v>
      </c>
    </row>
    <row r="21" spans="1:2" x14ac:dyDescent="0.3">
      <c r="A21" s="34" t="s">
        <v>328</v>
      </c>
      <c r="B21" s="36">
        <v>172000000</v>
      </c>
    </row>
    <row r="22" spans="1:2" x14ac:dyDescent="0.3">
      <c r="A22" s="34" t="s">
        <v>329</v>
      </c>
      <c r="B22" s="36">
        <v>6680000</v>
      </c>
    </row>
    <row r="23" spans="1:2" x14ac:dyDescent="0.3">
      <c r="A23" s="34" t="s">
        <v>330</v>
      </c>
      <c r="B23" s="36">
        <v>6990000</v>
      </c>
    </row>
    <row r="24" spans="1:2" x14ac:dyDescent="0.3">
      <c r="A24" s="34" t="s">
        <v>331</v>
      </c>
      <c r="B24" s="36">
        <v>1810000000</v>
      </c>
    </row>
    <row r="25" spans="1:2" x14ac:dyDescent="0.3">
      <c r="A25" s="34" t="s">
        <v>332</v>
      </c>
      <c r="B25" s="36">
        <v>1180000</v>
      </c>
    </row>
    <row r="26" spans="1:2" x14ac:dyDescent="0.3">
      <c r="A26" s="34" t="s">
        <v>333</v>
      </c>
      <c r="B26" s="36">
        <v>23300000</v>
      </c>
    </row>
    <row r="27" spans="1:2" x14ac:dyDescent="0.3">
      <c r="A27" s="34" t="s">
        <v>334</v>
      </c>
      <c r="B27" s="36">
        <v>18500000</v>
      </c>
    </row>
    <row r="28" spans="1:2" x14ac:dyDescent="0.3">
      <c r="A28" s="34" t="s">
        <v>335</v>
      </c>
      <c r="B28" s="36">
        <v>4030000</v>
      </c>
    </row>
    <row r="29" spans="1:2" x14ac:dyDescent="0.3">
      <c r="A29" s="34" t="s">
        <v>336</v>
      </c>
      <c r="B29" s="36">
        <v>323000</v>
      </c>
    </row>
    <row r="30" spans="1:2" x14ac:dyDescent="0.3">
      <c r="A30" s="34" t="s">
        <v>337</v>
      </c>
      <c r="B30" s="36">
        <v>17700000</v>
      </c>
    </row>
    <row r="31" spans="1:2" x14ac:dyDescent="0.3">
      <c r="A31" s="34" t="s">
        <v>338</v>
      </c>
      <c r="B31" s="36">
        <v>39700000</v>
      </c>
    </row>
    <row r="32" spans="1:2" x14ac:dyDescent="0.3">
      <c r="A32" s="34" t="s">
        <v>339</v>
      </c>
      <c r="B32" s="36">
        <v>549000000</v>
      </c>
    </row>
    <row r="33" spans="1:2" x14ac:dyDescent="0.3">
      <c r="A33" s="34" t="s">
        <v>340</v>
      </c>
      <c r="B33" s="36">
        <v>35200000</v>
      </c>
    </row>
    <row r="34" spans="1:2" x14ac:dyDescent="0.3">
      <c r="A34" s="34" t="s">
        <v>341</v>
      </c>
      <c r="B34" s="36">
        <v>27300000</v>
      </c>
    </row>
    <row r="35" spans="1:2" x14ac:dyDescent="0.3">
      <c r="A35" s="34" t="s">
        <v>342</v>
      </c>
      <c r="B35" s="36">
        <v>63500000</v>
      </c>
    </row>
    <row r="36" spans="1:2" x14ac:dyDescent="0.3">
      <c r="A36" s="34" t="s">
        <v>343</v>
      </c>
      <c r="B36" s="36">
        <v>1370000000</v>
      </c>
    </row>
    <row r="37" spans="1:2" x14ac:dyDescent="0.3">
      <c r="A37" s="34" t="s">
        <v>344</v>
      </c>
      <c r="B37" s="36">
        <v>177000000</v>
      </c>
    </row>
    <row r="38" spans="1:2" x14ac:dyDescent="0.3">
      <c r="A38" s="34" t="s">
        <v>345</v>
      </c>
      <c r="B38" s="36">
        <v>275000</v>
      </c>
    </row>
    <row r="39" spans="1:2" x14ac:dyDescent="0.3">
      <c r="A39" s="34" t="s">
        <v>346</v>
      </c>
      <c r="B39" s="36">
        <v>47100000</v>
      </c>
    </row>
    <row r="40" spans="1:2" x14ac:dyDescent="0.3">
      <c r="A40" s="34" t="s">
        <v>347</v>
      </c>
      <c r="B40" s="36">
        <v>7550000</v>
      </c>
    </row>
    <row r="41" spans="1:2" x14ac:dyDescent="0.3">
      <c r="A41" s="34" t="s">
        <v>348</v>
      </c>
      <c r="B41" s="36">
        <v>44300000</v>
      </c>
    </row>
    <row r="42" spans="1:2" x14ac:dyDescent="0.3">
      <c r="A42" s="34" t="s">
        <v>349</v>
      </c>
      <c r="B42" s="36">
        <v>13400000</v>
      </c>
    </row>
    <row r="43" spans="1:2" x14ac:dyDescent="0.3">
      <c r="A43" s="34" t="s">
        <v>350</v>
      </c>
      <c r="B43" s="36">
        <v>9300000</v>
      </c>
    </row>
    <row r="44" spans="1:2" x14ac:dyDescent="0.3">
      <c r="A44" s="34" t="s">
        <v>351</v>
      </c>
      <c r="B44" s="36">
        <v>321000</v>
      </c>
    </row>
    <row r="45" spans="1:2" x14ac:dyDescent="0.3">
      <c r="A45" s="34" t="s">
        <v>352</v>
      </c>
      <c r="B45" s="36">
        <v>27600000</v>
      </c>
    </row>
    <row r="46" spans="1:2" x14ac:dyDescent="0.3">
      <c r="A46" s="34" t="s">
        <v>353</v>
      </c>
      <c r="B46" s="36">
        <v>199000000</v>
      </c>
    </row>
    <row r="47" spans="1:2" x14ac:dyDescent="0.3">
      <c r="A47" s="34" t="s">
        <v>354</v>
      </c>
      <c r="B47" s="36">
        <v>23800000</v>
      </c>
    </row>
    <row r="48" spans="1:2" x14ac:dyDescent="0.3">
      <c r="A48" s="34" t="s">
        <v>355</v>
      </c>
      <c r="B48" s="36">
        <v>679000</v>
      </c>
    </row>
    <row r="49" spans="1:2" x14ac:dyDescent="0.3">
      <c r="A49" s="34" t="s">
        <v>356</v>
      </c>
      <c r="B49" s="36">
        <v>77100</v>
      </c>
    </row>
    <row r="50" spans="1:2" x14ac:dyDescent="0.3">
      <c r="A50" s="34" t="s">
        <v>357</v>
      </c>
      <c r="B50" s="36">
        <v>32600000</v>
      </c>
    </row>
    <row r="51" spans="1:2" x14ac:dyDescent="0.3">
      <c r="A51" s="34" t="s">
        <v>358</v>
      </c>
      <c r="B51" s="36">
        <v>6540000</v>
      </c>
    </row>
    <row r="52" spans="1:2" x14ac:dyDescent="0.3">
      <c r="A52" s="34" t="s">
        <v>359</v>
      </c>
      <c r="B52" s="36">
        <v>43000000</v>
      </c>
    </row>
    <row r="53" spans="1:2" x14ac:dyDescent="0.3">
      <c r="A53" s="34" t="s">
        <v>360</v>
      </c>
      <c r="B53" s="36">
        <v>3780000</v>
      </c>
    </row>
    <row r="54" spans="1:2" x14ac:dyDescent="0.3">
      <c r="A54" s="34" t="s">
        <v>361</v>
      </c>
      <c r="B54" s="36">
        <v>3170000</v>
      </c>
    </row>
    <row r="55" spans="1:2" x14ac:dyDescent="0.3">
      <c r="A55" s="34" t="s">
        <v>362</v>
      </c>
      <c r="B55" s="36">
        <v>7950000</v>
      </c>
    </row>
    <row r="56" spans="1:2" x14ac:dyDescent="0.3">
      <c r="A56" s="34" t="s">
        <v>363</v>
      </c>
      <c r="B56" s="36">
        <v>12500000</v>
      </c>
    </row>
    <row r="57" spans="1:2" x14ac:dyDescent="0.3">
      <c r="A57" s="34" t="s">
        <v>364</v>
      </c>
      <c r="B57" s="36">
        <v>1140000</v>
      </c>
    </row>
    <row r="58" spans="1:2" x14ac:dyDescent="0.3">
      <c r="A58" s="34" t="s">
        <v>365</v>
      </c>
      <c r="B58" s="36">
        <v>61900000</v>
      </c>
    </row>
    <row r="59" spans="1:2" x14ac:dyDescent="0.3">
      <c r="A59" s="34" t="s">
        <v>366</v>
      </c>
      <c r="B59" s="36">
        <v>2110000</v>
      </c>
    </row>
    <row r="60" spans="1:2" x14ac:dyDescent="0.3">
      <c r="A60" s="34" t="s">
        <v>367</v>
      </c>
      <c r="B60" s="36">
        <v>69500000</v>
      </c>
    </row>
    <row r="61" spans="1:2" x14ac:dyDescent="0.3">
      <c r="A61" s="34" t="s">
        <v>368</v>
      </c>
      <c r="B61" s="36">
        <v>154000000</v>
      </c>
    </row>
    <row r="62" spans="1:2" x14ac:dyDescent="0.3">
      <c r="A62" s="34" t="s">
        <v>369</v>
      </c>
      <c r="B62" s="36">
        <v>26800000</v>
      </c>
    </row>
    <row r="63" spans="1:2" x14ac:dyDescent="0.3">
      <c r="A63" s="34" t="s">
        <v>370</v>
      </c>
      <c r="B63" s="36">
        <v>43800000</v>
      </c>
    </row>
    <row r="64" spans="1:2" x14ac:dyDescent="0.3">
      <c r="A64" s="34" t="s">
        <v>371</v>
      </c>
      <c r="B64" s="36">
        <v>1500000</v>
      </c>
    </row>
    <row r="65" spans="1:2" x14ac:dyDescent="0.3">
      <c r="A65" s="34" t="s">
        <v>372</v>
      </c>
      <c r="B65" s="36">
        <v>5180000</v>
      </c>
    </row>
    <row r="66" spans="1:2" x14ac:dyDescent="0.3">
      <c r="A66" s="34" t="s">
        <v>373</v>
      </c>
      <c r="B66" s="36">
        <v>133000000</v>
      </c>
    </row>
    <row r="67" spans="1:2" x14ac:dyDescent="0.3">
      <c r="A67" s="34" t="s">
        <v>374</v>
      </c>
      <c r="B67" s="36">
        <v>37200000</v>
      </c>
    </row>
    <row r="68" spans="1:2" x14ac:dyDescent="0.3">
      <c r="A68" s="34" t="s">
        <v>375</v>
      </c>
      <c r="B68" s="36">
        <v>17400000</v>
      </c>
    </row>
    <row r="69" spans="1:2" x14ac:dyDescent="0.3">
      <c r="A69" s="34" t="s">
        <v>376</v>
      </c>
      <c r="B69" s="36">
        <v>226000</v>
      </c>
    </row>
    <row r="70" spans="1:2" x14ac:dyDescent="0.3">
      <c r="A70" s="34" t="s">
        <v>377</v>
      </c>
      <c r="B70" s="36">
        <v>17100000</v>
      </c>
    </row>
    <row r="71" spans="1:2" x14ac:dyDescent="0.3">
      <c r="A71" s="34" t="s">
        <v>378</v>
      </c>
      <c r="B71" s="36">
        <v>24700000</v>
      </c>
    </row>
    <row r="72" spans="1:2" x14ac:dyDescent="0.3">
      <c r="A72" s="34" t="s">
        <v>379</v>
      </c>
      <c r="B72" s="36">
        <v>5240000</v>
      </c>
    </row>
    <row r="73" spans="1:2" x14ac:dyDescent="0.3">
      <c r="A73" s="34" t="s">
        <v>380</v>
      </c>
      <c r="B73" s="36">
        <v>52300000</v>
      </c>
    </row>
    <row r="74" spans="1:2" x14ac:dyDescent="0.3">
      <c r="A74" s="34" t="s">
        <v>381</v>
      </c>
      <c r="B74" s="36">
        <v>3510000</v>
      </c>
    </row>
    <row r="75" spans="1:2" x14ac:dyDescent="0.3">
      <c r="A75" s="34" t="s">
        <v>382</v>
      </c>
      <c r="B75" s="36">
        <v>13900000</v>
      </c>
    </row>
    <row r="76" spans="1:2" x14ac:dyDescent="0.3">
      <c r="A76" s="34" t="s">
        <v>383</v>
      </c>
      <c r="B76" s="36">
        <v>24100000</v>
      </c>
    </row>
    <row r="77" spans="1:2" x14ac:dyDescent="0.3">
      <c r="A77" s="34" t="s">
        <v>384</v>
      </c>
      <c r="B77" s="36">
        <v>566000000</v>
      </c>
    </row>
    <row r="78" spans="1:2" x14ac:dyDescent="0.3">
      <c r="A78" s="34" t="s">
        <v>385</v>
      </c>
      <c r="B78" s="36">
        <v>334000000</v>
      </c>
    </row>
    <row r="79" spans="1:2" x14ac:dyDescent="0.3">
      <c r="A79" s="34" t="s">
        <v>386</v>
      </c>
      <c r="B79" s="36">
        <v>7900000</v>
      </c>
    </row>
    <row r="80" spans="1:2" x14ac:dyDescent="0.3">
      <c r="A80" s="34" t="s">
        <v>387</v>
      </c>
      <c r="B80" s="36">
        <v>15900000</v>
      </c>
    </row>
    <row r="81" spans="1:2" x14ac:dyDescent="0.3">
      <c r="A81" s="34" t="s">
        <v>388</v>
      </c>
      <c r="B81" s="36">
        <v>58700000</v>
      </c>
    </row>
    <row r="82" spans="1:2" x14ac:dyDescent="0.3">
      <c r="A82" s="34" t="s">
        <v>389</v>
      </c>
      <c r="B82" s="36">
        <v>2060000</v>
      </c>
    </row>
    <row r="83" spans="1:2" x14ac:dyDescent="0.3">
      <c r="A83" s="34" t="s">
        <v>390</v>
      </c>
      <c r="B83" s="36">
        <v>56000000</v>
      </c>
    </row>
    <row r="84" spans="1:2" x14ac:dyDescent="0.3">
      <c r="A84" s="34" t="s">
        <v>391</v>
      </c>
      <c r="B84" s="36">
        <v>1200000</v>
      </c>
    </row>
    <row r="85" spans="1:2" x14ac:dyDescent="0.3">
      <c r="A85" s="34" t="s">
        <v>392</v>
      </c>
      <c r="B85" s="36">
        <v>74300000</v>
      </c>
    </row>
    <row r="86" spans="1:2" x14ac:dyDescent="0.3">
      <c r="A86" s="34" t="s">
        <v>393</v>
      </c>
      <c r="B86" s="36">
        <v>1610000</v>
      </c>
    </row>
    <row r="87" spans="1:2" x14ac:dyDescent="0.3">
      <c r="A87" s="34" t="s">
        <v>394</v>
      </c>
      <c r="B87" s="36">
        <v>64700000</v>
      </c>
    </row>
    <row r="88" spans="1:2" x14ac:dyDescent="0.3">
      <c r="A88" s="34" t="s">
        <v>395</v>
      </c>
      <c r="B88" s="36">
        <v>23600000</v>
      </c>
    </row>
    <row r="89" spans="1:2" x14ac:dyDescent="0.3">
      <c r="A89" s="34" t="s">
        <v>396</v>
      </c>
      <c r="B89" s="36">
        <v>14500000</v>
      </c>
    </row>
    <row r="90" spans="1:2" x14ac:dyDescent="0.3">
      <c r="A90" s="34" t="s">
        <v>397</v>
      </c>
      <c r="B90" s="36">
        <v>34000000</v>
      </c>
    </row>
    <row r="91" spans="1:2" x14ac:dyDescent="0.3">
      <c r="A91" s="34" t="s">
        <v>398</v>
      </c>
      <c r="B91" s="36">
        <v>2390000</v>
      </c>
    </row>
    <row r="92" spans="1:2" x14ac:dyDescent="0.3">
      <c r="A92" s="34" t="s">
        <v>399</v>
      </c>
      <c r="B92" s="36">
        <v>6930000</v>
      </c>
    </row>
    <row r="93" spans="1:2" x14ac:dyDescent="0.3">
      <c r="A93" s="34" t="s">
        <v>400</v>
      </c>
      <c r="B93" s="36">
        <v>13200000</v>
      </c>
    </row>
    <row r="94" spans="1:2" x14ac:dyDescent="0.3">
      <c r="A94" s="34" t="s">
        <v>401</v>
      </c>
      <c r="B94" s="36">
        <v>16700000</v>
      </c>
    </row>
    <row r="95" spans="1:2" x14ac:dyDescent="0.3">
      <c r="A95" s="34" t="s">
        <v>402</v>
      </c>
      <c r="B95" s="36">
        <v>1700000</v>
      </c>
    </row>
    <row r="96" spans="1:2" x14ac:dyDescent="0.3">
      <c r="A96" s="34" t="s">
        <v>403</v>
      </c>
      <c r="B96" s="36">
        <v>1620000</v>
      </c>
    </row>
    <row r="97" spans="1:2" x14ac:dyDescent="0.3">
      <c r="A97" s="34" t="s">
        <v>404</v>
      </c>
      <c r="B97" s="36">
        <v>10700000</v>
      </c>
    </row>
    <row r="98" spans="1:2" x14ac:dyDescent="0.3">
      <c r="A98" s="34" t="s">
        <v>405</v>
      </c>
      <c r="B98" s="36">
        <v>4210000</v>
      </c>
    </row>
    <row r="99" spans="1:2" x14ac:dyDescent="0.3">
      <c r="A99" s="34" t="s">
        <v>406</v>
      </c>
      <c r="B99" s="36">
        <v>15100000</v>
      </c>
    </row>
    <row r="100" spans="1:2" x14ac:dyDescent="0.3">
      <c r="A100" s="34" t="s">
        <v>407</v>
      </c>
      <c r="B100" s="36">
        <v>713000</v>
      </c>
    </row>
    <row r="101" spans="1:2" x14ac:dyDescent="0.3">
      <c r="A101" s="34" t="s">
        <v>408</v>
      </c>
      <c r="B101" s="36">
        <v>3360000</v>
      </c>
    </row>
    <row r="102" spans="1:2" x14ac:dyDescent="0.3">
      <c r="A102" s="34" t="s">
        <v>409</v>
      </c>
      <c r="B102" s="36">
        <v>58400000</v>
      </c>
    </row>
    <row r="103" spans="1:2" x14ac:dyDescent="0.3">
      <c r="A103" s="34" t="s">
        <v>410</v>
      </c>
      <c r="B103" s="36">
        <v>9780000</v>
      </c>
    </row>
    <row r="104" spans="1:2" x14ac:dyDescent="0.3">
      <c r="A104" s="34" t="s">
        <v>411</v>
      </c>
      <c r="B104" s="36">
        <v>70400000</v>
      </c>
    </row>
    <row r="105" spans="1:2" x14ac:dyDescent="0.3">
      <c r="A105" s="34" t="s">
        <v>412</v>
      </c>
      <c r="B105" s="36">
        <v>27700000</v>
      </c>
    </row>
    <row r="106" spans="1:2" x14ac:dyDescent="0.3">
      <c r="A106" s="34" t="s">
        <v>413</v>
      </c>
      <c r="B106" s="36">
        <v>257000</v>
      </c>
    </row>
    <row r="107" spans="1:2" x14ac:dyDescent="0.3">
      <c r="A107" s="34" t="s">
        <v>414</v>
      </c>
      <c r="B107" s="36">
        <v>17300000</v>
      </c>
    </row>
    <row r="108" spans="1:2" x14ac:dyDescent="0.3">
      <c r="A108" s="34" t="s">
        <v>415</v>
      </c>
      <c r="B108" s="36">
        <v>894000</v>
      </c>
    </row>
    <row r="109" spans="1:2" x14ac:dyDescent="0.3">
      <c r="A109" s="34" t="s">
        <v>416</v>
      </c>
      <c r="B109" s="36">
        <v>150000000</v>
      </c>
    </row>
    <row r="110" spans="1:2" x14ac:dyDescent="0.3">
      <c r="A110" s="34" t="s">
        <v>417</v>
      </c>
      <c r="B110" s="36">
        <v>4880000</v>
      </c>
    </row>
    <row r="111" spans="1:2" x14ac:dyDescent="0.3">
      <c r="A111" s="34" t="s">
        <v>418</v>
      </c>
      <c r="B111" s="36">
        <v>42800000</v>
      </c>
    </row>
    <row r="112" spans="1:2" x14ac:dyDescent="0.3">
      <c r="A112" s="34" t="s">
        <v>419</v>
      </c>
      <c r="B112" s="36">
        <v>1900000</v>
      </c>
    </row>
    <row r="113" spans="1:2" x14ac:dyDescent="0.3">
      <c r="A113" s="34" t="s">
        <v>420</v>
      </c>
      <c r="B113" s="36">
        <v>20900000</v>
      </c>
    </row>
    <row r="114" spans="1:2" x14ac:dyDescent="0.3">
      <c r="A114" s="34" t="s">
        <v>421</v>
      </c>
      <c r="B114" s="36">
        <v>51700000</v>
      </c>
    </row>
    <row r="115" spans="1:2" x14ac:dyDescent="0.3">
      <c r="A115" s="34" t="s">
        <v>422</v>
      </c>
      <c r="B115" s="36">
        <v>100000000</v>
      </c>
    </row>
    <row r="116" spans="1:2" x14ac:dyDescent="0.3">
      <c r="A116" s="34" t="s">
        <v>423</v>
      </c>
      <c r="B116" s="36">
        <v>15700000</v>
      </c>
    </row>
  </sheetData>
  <pageMargins left="0.7" right="0.7" top="0.75" bottom="0.75" header="0.3" footer="0.3"/>
  <pageSetup orientation="portrait" r:id="rId1"/>
  <headerFooter differentOddEven="1">
    <oddHeader>&amp;L&amp;G&amp;CPage &amp;P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53973-EB28-47CE-9245-ABB5D98B25FC}">
  <dimension ref="A1:H89"/>
  <sheetViews>
    <sheetView zoomScaleNormal="100" workbookViewId="0">
      <selection activeCell="G7" sqref="G7"/>
    </sheetView>
  </sheetViews>
  <sheetFormatPr defaultRowHeight="15.6" x14ac:dyDescent="0.3"/>
  <cols>
    <col min="1" max="1" width="17.77734375" style="3" bestFit="1" customWidth="1"/>
    <col min="2" max="2" width="18.21875" style="3" bestFit="1" customWidth="1"/>
    <col min="3" max="3" width="10.77734375" style="3" bestFit="1" customWidth="1"/>
    <col min="4" max="4" width="8.6640625" bestFit="1" customWidth="1"/>
    <col min="5" max="5" width="11.5546875" bestFit="1" customWidth="1"/>
    <col min="6" max="6" width="19.77734375" customWidth="1"/>
  </cols>
  <sheetData>
    <row r="1" spans="1:8" x14ac:dyDescent="0.3">
      <c r="A1" s="1" t="s">
        <v>179</v>
      </c>
      <c r="B1" s="1" t="s">
        <v>180</v>
      </c>
      <c r="C1" s="1" t="s">
        <v>181</v>
      </c>
      <c r="D1" s="1" t="s">
        <v>182</v>
      </c>
      <c r="E1" s="1" t="s">
        <v>183</v>
      </c>
      <c r="F1" s="1" t="s">
        <v>184</v>
      </c>
      <c r="G1" s="1" t="s">
        <v>251</v>
      </c>
    </row>
    <row r="2" spans="1:8" x14ac:dyDescent="0.3">
      <c r="A2" s="2" t="s">
        <v>188</v>
      </c>
      <c r="B2" s="2">
        <v>93</v>
      </c>
      <c r="C2" s="2">
        <v>53</v>
      </c>
      <c r="D2" s="2">
        <v>56</v>
      </c>
      <c r="E2" s="2">
        <v>47</v>
      </c>
      <c r="F2" s="2"/>
    </row>
    <row r="3" spans="1:8" x14ac:dyDescent="0.3">
      <c r="A3" s="2" t="s">
        <v>175</v>
      </c>
      <c r="B3" s="2">
        <v>86</v>
      </c>
      <c r="C3" s="2">
        <v>34</v>
      </c>
      <c r="D3" s="2">
        <v>80</v>
      </c>
      <c r="E3" s="2">
        <v>77</v>
      </c>
      <c r="F3" s="2"/>
    </row>
    <row r="4" spans="1:8" x14ac:dyDescent="0.3">
      <c r="A4" s="2" t="s">
        <v>186</v>
      </c>
      <c r="B4" s="2">
        <v>38</v>
      </c>
      <c r="C4" s="2">
        <v>39</v>
      </c>
      <c r="D4" s="2">
        <v>51</v>
      </c>
      <c r="E4" s="2">
        <v>72</v>
      </c>
      <c r="F4" s="2"/>
    </row>
    <row r="5" spans="1:8" x14ac:dyDescent="0.3">
      <c r="A5" s="2" t="s">
        <v>189</v>
      </c>
      <c r="B5" s="2">
        <v>84</v>
      </c>
      <c r="C5" s="2">
        <v>50</v>
      </c>
      <c r="D5" s="2">
        <v>86</v>
      </c>
      <c r="E5" s="2">
        <v>91</v>
      </c>
      <c r="F5" s="2"/>
    </row>
    <row r="6" spans="1:8" x14ac:dyDescent="0.3">
      <c r="A6" s="2" t="s">
        <v>185</v>
      </c>
      <c r="B6" s="2">
        <v>46</v>
      </c>
      <c r="C6" s="2">
        <v>86</v>
      </c>
      <c r="D6" s="2">
        <v>44</v>
      </c>
      <c r="E6" s="2">
        <v>57</v>
      </c>
      <c r="F6" s="2"/>
    </row>
    <row r="7" spans="1:8" x14ac:dyDescent="0.3">
      <c r="A7" s="2" t="s">
        <v>190</v>
      </c>
      <c r="B7" s="2">
        <v>41</v>
      </c>
      <c r="C7" s="2">
        <v>43</v>
      </c>
      <c r="D7" s="2">
        <v>88</v>
      </c>
      <c r="E7" s="2">
        <v>57</v>
      </c>
      <c r="F7" s="2"/>
    </row>
    <row r="8" spans="1:8" x14ac:dyDescent="0.3">
      <c r="A8" s="2" t="s">
        <v>187</v>
      </c>
      <c r="B8" s="2">
        <v>72</v>
      </c>
      <c r="C8" s="2">
        <v>89</v>
      </c>
      <c r="D8" s="2">
        <v>65</v>
      </c>
      <c r="E8" s="2">
        <v>33</v>
      </c>
      <c r="F8" s="2"/>
    </row>
    <row r="9" spans="1:8" x14ac:dyDescent="0.3">
      <c r="A9" s="10"/>
      <c r="B9" s="10"/>
      <c r="C9" s="10"/>
    </row>
    <row r="10" spans="1:8" x14ac:dyDescent="0.3">
      <c r="A10" s="10"/>
      <c r="B10" s="10"/>
      <c r="C10" s="10"/>
    </row>
    <row r="11" spans="1:8" x14ac:dyDescent="0.3">
      <c r="A11" s="10"/>
      <c r="B11" s="10"/>
      <c r="C11" s="10"/>
    </row>
    <row r="12" spans="1:8" x14ac:dyDescent="0.3">
      <c r="A12" s="10"/>
      <c r="B12" s="10"/>
      <c r="C12" s="10"/>
    </row>
    <row r="13" spans="1:8" x14ac:dyDescent="0.3">
      <c r="A13" s="16" t="s">
        <v>191</v>
      </c>
      <c r="B13" s="17" t="s">
        <v>192</v>
      </c>
      <c r="C13" s="18" t="s">
        <v>193</v>
      </c>
    </row>
    <row r="14" spans="1:8" x14ac:dyDescent="0.3">
      <c r="A14" s="19" t="s">
        <v>200</v>
      </c>
      <c r="B14" s="20" t="s">
        <v>195</v>
      </c>
      <c r="C14" s="21">
        <v>3430</v>
      </c>
      <c r="H14" s="9"/>
    </row>
    <row r="15" spans="1:8" x14ac:dyDescent="0.3">
      <c r="A15" s="22" t="s">
        <v>200</v>
      </c>
      <c r="B15" s="23" t="s">
        <v>195</v>
      </c>
      <c r="C15" s="24">
        <v>5123</v>
      </c>
    </row>
    <row r="16" spans="1:8" x14ac:dyDescent="0.3">
      <c r="A16" s="19" t="s">
        <v>200</v>
      </c>
      <c r="B16" s="20" t="s">
        <v>195</v>
      </c>
      <c r="C16" s="21">
        <v>8834</v>
      </c>
    </row>
    <row r="17" spans="1:3" x14ac:dyDescent="0.3">
      <c r="A17" s="28" t="s">
        <v>258</v>
      </c>
      <c r="B17" s="20"/>
      <c r="C17" s="21">
        <f>SUBTOTAL(9,C14:C16)</f>
        <v>17387</v>
      </c>
    </row>
    <row r="18" spans="1:3" x14ac:dyDescent="0.3">
      <c r="A18" s="22" t="s">
        <v>188</v>
      </c>
      <c r="B18" s="23" t="s">
        <v>195</v>
      </c>
      <c r="C18" s="24">
        <v>5434</v>
      </c>
    </row>
    <row r="19" spans="1:3" x14ac:dyDescent="0.3">
      <c r="A19" s="19" t="s">
        <v>188</v>
      </c>
      <c r="B19" s="20" t="s">
        <v>195</v>
      </c>
      <c r="C19" s="21">
        <v>6072</v>
      </c>
    </row>
    <row r="20" spans="1:3" x14ac:dyDescent="0.3">
      <c r="A20" s="22" t="s">
        <v>188</v>
      </c>
      <c r="B20" s="23" t="s">
        <v>195</v>
      </c>
      <c r="C20" s="24">
        <v>6663</v>
      </c>
    </row>
    <row r="21" spans="1:3" x14ac:dyDescent="0.3">
      <c r="A21" s="19" t="s">
        <v>188</v>
      </c>
      <c r="B21" s="20" t="s">
        <v>195</v>
      </c>
      <c r="C21" s="21">
        <v>8277</v>
      </c>
    </row>
    <row r="22" spans="1:3" x14ac:dyDescent="0.3">
      <c r="A22" s="28" t="s">
        <v>259</v>
      </c>
      <c r="B22" s="20"/>
      <c r="C22" s="21">
        <f>SUBTOTAL(9,C18:C21)</f>
        <v>26446</v>
      </c>
    </row>
    <row r="23" spans="1:3" x14ac:dyDescent="0.3">
      <c r="A23" s="22" t="s">
        <v>203</v>
      </c>
      <c r="B23" s="23" t="s">
        <v>195</v>
      </c>
      <c r="C23" s="24">
        <v>4578</v>
      </c>
    </row>
    <row r="24" spans="1:3" x14ac:dyDescent="0.3">
      <c r="A24" s="19" t="s">
        <v>203</v>
      </c>
      <c r="B24" s="20" t="s">
        <v>195</v>
      </c>
      <c r="C24" s="21">
        <v>6140</v>
      </c>
    </row>
    <row r="25" spans="1:3" x14ac:dyDescent="0.3">
      <c r="A25" s="22" t="s">
        <v>203</v>
      </c>
      <c r="B25" s="23" t="s">
        <v>195</v>
      </c>
      <c r="C25" s="24">
        <v>6182</v>
      </c>
    </row>
    <row r="26" spans="1:3" x14ac:dyDescent="0.3">
      <c r="A26" s="19" t="s">
        <v>203</v>
      </c>
      <c r="B26" s="20" t="s">
        <v>195</v>
      </c>
      <c r="C26" s="21">
        <v>8280</v>
      </c>
    </row>
    <row r="27" spans="1:3" x14ac:dyDescent="0.3">
      <c r="A27" s="28" t="s">
        <v>260</v>
      </c>
      <c r="B27" s="20"/>
      <c r="C27" s="21">
        <f>SUBTOTAL(9,C23:C26)</f>
        <v>25180</v>
      </c>
    </row>
    <row r="28" spans="1:3" x14ac:dyDescent="0.3">
      <c r="A28" s="22" t="s">
        <v>201</v>
      </c>
      <c r="B28" s="23" t="s">
        <v>195</v>
      </c>
      <c r="C28" s="24">
        <v>5123</v>
      </c>
    </row>
    <row r="29" spans="1:3" x14ac:dyDescent="0.3">
      <c r="A29" s="19" t="s">
        <v>201</v>
      </c>
      <c r="B29" s="20" t="s">
        <v>195</v>
      </c>
      <c r="C29" s="21">
        <v>5177</v>
      </c>
    </row>
    <row r="30" spans="1:3" x14ac:dyDescent="0.3">
      <c r="A30" s="22" t="s">
        <v>201</v>
      </c>
      <c r="B30" s="23" t="s">
        <v>195</v>
      </c>
      <c r="C30" s="24">
        <v>6840</v>
      </c>
    </row>
    <row r="31" spans="1:3" x14ac:dyDescent="0.3">
      <c r="A31" s="19" t="s">
        <v>201</v>
      </c>
      <c r="B31" s="20" t="s">
        <v>195</v>
      </c>
      <c r="C31" s="21">
        <v>9182</v>
      </c>
    </row>
    <row r="32" spans="1:3" x14ac:dyDescent="0.3">
      <c r="A32" s="28" t="s">
        <v>261</v>
      </c>
      <c r="B32" s="20"/>
      <c r="C32" s="21">
        <f>SUBTOTAL(9,C28:C31)</f>
        <v>26322</v>
      </c>
    </row>
    <row r="33" spans="1:3" x14ac:dyDescent="0.3">
      <c r="A33" s="22" t="s">
        <v>186</v>
      </c>
      <c r="B33" s="23" t="s">
        <v>195</v>
      </c>
      <c r="C33" s="24">
        <v>2707</v>
      </c>
    </row>
    <row r="34" spans="1:3" x14ac:dyDescent="0.3">
      <c r="A34" s="19" t="s">
        <v>186</v>
      </c>
      <c r="B34" s="20" t="s">
        <v>195</v>
      </c>
      <c r="C34" s="21">
        <v>4431</v>
      </c>
    </row>
    <row r="35" spans="1:3" x14ac:dyDescent="0.3">
      <c r="A35" s="22" t="s">
        <v>186</v>
      </c>
      <c r="B35" s="23" t="s">
        <v>195</v>
      </c>
      <c r="C35" s="24">
        <v>5634</v>
      </c>
    </row>
    <row r="36" spans="1:3" x14ac:dyDescent="0.3">
      <c r="A36" s="19" t="s">
        <v>186</v>
      </c>
      <c r="B36" s="20" t="s">
        <v>195</v>
      </c>
      <c r="C36" s="21">
        <v>8291</v>
      </c>
    </row>
    <row r="37" spans="1:3" x14ac:dyDescent="0.3">
      <c r="A37" s="28" t="s">
        <v>262</v>
      </c>
      <c r="B37" s="20"/>
      <c r="C37" s="21">
        <f>SUBTOTAL(9,C33:C36)</f>
        <v>21063</v>
      </c>
    </row>
    <row r="38" spans="1:3" x14ac:dyDescent="0.3">
      <c r="A38" s="22" t="s">
        <v>198</v>
      </c>
      <c r="B38" s="23" t="s">
        <v>195</v>
      </c>
      <c r="C38" s="24">
        <v>4130</v>
      </c>
    </row>
    <row r="39" spans="1:3" x14ac:dyDescent="0.3">
      <c r="A39" s="19" t="s">
        <v>198</v>
      </c>
      <c r="B39" s="20" t="s">
        <v>195</v>
      </c>
      <c r="C39" s="21">
        <v>5183</v>
      </c>
    </row>
    <row r="40" spans="1:3" x14ac:dyDescent="0.3">
      <c r="A40" s="22" t="s">
        <v>198</v>
      </c>
      <c r="B40" s="23" t="s">
        <v>195</v>
      </c>
      <c r="C40" s="24">
        <v>5708</v>
      </c>
    </row>
    <row r="41" spans="1:3" x14ac:dyDescent="0.3">
      <c r="A41" s="19" t="s">
        <v>198</v>
      </c>
      <c r="B41" s="20" t="s">
        <v>195</v>
      </c>
      <c r="C41" s="21">
        <v>6198</v>
      </c>
    </row>
    <row r="42" spans="1:3" x14ac:dyDescent="0.3">
      <c r="A42" s="28" t="s">
        <v>263</v>
      </c>
      <c r="B42" s="20"/>
      <c r="C42" s="21">
        <f>SUBTOTAL(9,C38:C41)</f>
        <v>21219</v>
      </c>
    </row>
    <row r="43" spans="1:3" x14ac:dyDescent="0.3">
      <c r="A43" s="22" t="s">
        <v>187</v>
      </c>
      <c r="B43" s="23" t="s">
        <v>195</v>
      </c>
      <c r="C43" s="24">
        <v>2994</v>
      </c>
    </row>
    <row r="44" spans="1:3" x14ac:dyDescent="0.3">
      <c r="A44" s="19" t="s">
        <v>187</v>
      </c>
      <c r="B44" s="20" t="s">
        <v>195</v>
      </c>
      <c r="C44" s="21">
        <v>5111</v>
      </c>
    </row>
    <row r="45" spans="1:3" x14ac:dyDescent="0.3">
      <c r="A45" s="22" t="s">
        <v>187</v>
      </c>
      <c r="B45" s="23" t="s">
        <v>195</v>
      </c>
      <c r="C45" s="24">
        <v>7698</v>
      </c>
    </row>
    <row r="46" spans="1:3" x14ac:dyDescent="0.3">
      <c r="A46" s="19" t="s">
        <v>187</v>
      </c>
      <c r="B46" s="20" t="s">
        <v>195</v>
      </c>
      <c r="C46" s="21">
        <v>8945</v>
      </c>
    </row>
    <row r="47" spans="1:3" x14ac:dyDescent="0.3">
      <c r="A47" s="28" t="s">
        <v>264</v>
      </c>
      <c r="B47" s="20"/>
      <c r="C47" s="21">
        <f>SUBTOTAL(9,C43:C46)</f>
        <v>24748</v>
      </c>
    </row>
    <row r="48" spans="1:3" x14ac:dyDescent="0.3">
      <c r="A48" s="22" t="s">
        <v>200</v>
      </c>
      <c r="B48" s="23" t="s">
        <v>194</v>
      </c>
      <c r="C48" s="24">
        <v>5925</v>
      </c>
    </row>
    <row r="49" spans="1:3" x14ac:dyDescent="0.3">
      <c r="A49" s="29" t="s">
        <v>258</v>
      </c>
      <c r="B49" s="23"/>
      <c r="C49" s="24">
        <f>SUBTOTAL(9,C48:C48)</f>
        <v>5925</v>
      </c>
    </row>
    <row r="50" spans="1:3" x14ac:dyDescent="0.3">
      <c r="A50" s="19" t="s">
        <v>199</v>
      </c>
      <c r="B50" s="20" t="s">
        <v>194</v>
      </c>
      <c r="C50" s="21">
        <v>3295</v>
      </c>
    </row>
    <row r="51" spans="1:3" x14ac:dyDescent="0.3">
      <c r="A51" s="22" t="s">
        <v>199</v>
      </c>
      <c r="B51" s="23" t="s">
        <v>194</v>
      </c>
      <c r="C51" s="24">
        <v>7380</v>
      </c>
    </row>
    <row r="52" spans="1:3" x14ac:dyDescent="0.3">
      <c r="A52" s="19" t="s">
        <v>199</v>
      </c>
      <c r="B52" s="20" t="s">
        <v>194</v>
      </c>
      <c r="C52" s="21">
        <v>8338</v>
      </c>
    </row>
    <row r="53" spans="1:3" x14ac:dyDescent="0.3">
      <c r="A53" s="22" t="s">
        <v>199</v>
      </c>
      <c r="B53" s="23" t="s">
        <v>194</v>
      </c>
      <c r="C53" s="24">
        <v>9036</v>
      </c>
    </row>
    <row r="54" spans="1:3" x14ac:dyDescent="0.3">
      <c r="A54" s="29" t="s">
        <v>265</v>
      </c>
      <c r="B54" s="23"/>
      <c r="C54" s="24">
        <f>SUBTOTAL(9,C50:C53)</f>
        <v>28049</v>
      </c>
    </row>
    <row r="55" spans="1:3" x14ac:dyDescent="0.3">
      <c r="A55" s="19" t="s">
        <v>202</v>
      </c>
      <c r="B55" s="20" t="s">
        <v>194</v>
      </c>
      <c r="C55" s="21">
        <v>3812</v>
      </c>
    </row>
    <row r="56" spans="1:3" x14ac:dyDescent="0.3">
      <c r="A56" s="22" t="s">
        <v>202</v>
      </c>
      <c r="B56" s="23" t="s">
        <v>194</v>
      </c>
      <c r="C56" s="24">
        <v>6393</v>
      </c>
    </row>
    <row r="57" spans="1:3" x14ac:dyDescent="0.3">
      <c r="A57" s="19" t="s">
        <v>202</v>
      </c>
      <c r="B57" s="20" t="s">
        <v>194</v>
      </c>
      <c r="C57" s="21">
        <v>9100</v>
      </c>
    </row>
    <row r="58" spans="1:3" x14ac:dyDescent="0.3">
      <c r="A58" s="22" t="s">
        <v>202</v>
      </c>
      <c r="B58" s="23" t="s">
        <v>194</v>
      </c>
      <c r="C58" s="24">
        <v>9262</v>
      </c>
    </row>
    <row r="59" spans="1:3" x14ac:dyDescent="0.3">
      <c r="A59" s="29" t="s">
        <v>266</v>
      </c>
      <c r="B59" s="23"/>
      <c r="C59" s="24">
        <f>SUBTOTAL(9,C55:C58)</f>
        <v>28567</v>
      </c>
    </row>
    <row r="60" spans="1:3" x14ac:dyDescent="0.3">
      <c r="A60" s="19" t="s">
        <v>196</v>
      </c>
      <c r="B60" s="20" t="s">
        <v>194</v>
      </c>
      <c r="C60" s="21">
        <v>6009</v>
      </c>
    </row>
    <row r="61" spans="1:3" x14ac:dyDescent="0.3">
      <c r="A61" s="22" t="s">
        <v>196</v>
      </c>
      <c r="B61" s="23" t="s">
        <v>194</v>
      </c>
      <c r="C61" s="24">
        <v>6169</v>
      </c>
    </row>
    <row r="62" spans="1:3" x14ac:dyDescent="0.3">
      <c r="A62" s="19" t="s">
        <v>196</v>
      </c>
      <c r="B62" s="20" t="s">
        <v>194</v>
      </c>
      <c r="C62" s="21">
        <v>6356</v>
      </c>
    </row>
    <row r="63" spans="1:3" x14ac:dyDescent="0.3">
      <c r="A63" s="22" t="s">
        <v>196</v>
      </c>
      <c r="B63" s="23" t="s">
        <v>194</v>
      </c>
      <c r="C63" s="24">
        <v>6522</v>
      </c>
    </row>
    <row r="64" spans="1:3" x14ac:dyDescent="0.3">
      <c r="A64" s="29" t="s">
        <v>267</v>
      </c>
      <c r="B64" s="23"/>
      <c r="C64" s="24">
        <f>SUBTOTAL(9,C60:C63)</f>
        <v>25056</v>
      </c>
    </row>
    <row r="65" spans="1:3" x14ac:dyDescent="0.3">
      <c r="A65" s="19" t="s">
        <v>185</v>
      </c>
      <c r="B65" s="20" t="s">
        <v>194</v>
      </c>
      <c r="C65" s="21">
        <v>5178</v>
      </c>
    </row>
    <row r="66" spans="1:3" x14ac:dyDescent="0.3">
      <c r="A66" s="22" t="s">
        <v>185</v>
      </c>
      <c r="B66" s="23" t="s">
        <v>194</v>
      </c>
      <c r="C66" s="24">
        <v>6796</v>
      </c>
    </row>
    <row r="67" spans="1:3" x14ac:dyDescent="0.3">
      <c r="A67" s="19" t="s">
        <v>185</v>
      </c>
      <c r="B67" s="20" t="s">
        <v>194</v>
      </c>
      <c r="C67" s="21">
        <v>7961</v>
      </c>
    </row>
    <row r="68" spans="1:3" x14ac:dyDescent="0.3">
      <c r="A68" s="22" t="s">
        <v>185</v>
      </c>
      <c r="B68" s="23" t="s">
        <v>194</v>
      </c>
      <c r="C68" s="24">
        <v>8464</v>
      </c>
    </row>
    <row r="69" spans="1:3" x14ac:dyDescent="0.3">
      <c r="A69" s="29" t="s">
        <v>268</v>
      </c>
      <c r="B69" s="23"/>
      <c r="C69" s="24">
        <f>SUBTOTAL(9,C65:C68)</f>
        <v>28399</v>
      </c>
    </row>
    <row r="70" spans="1:3" x14ac:dyDescent="0.3">
      <c r="A70" s="19" t="s">
        <v>204</v>
      </c>
      <c r="B70" s="20" t="s">
        <v>194</v>
      </c>
      <c r="C70" s="21">
        <v>3868</v>
      </c>
    </row>
    <row r="71" spans="1:3" x14ac:dyDescent="0.3">
      <c r="A71" s="22" t="s">
        <v>204</v>
      </c>
      <c r="B71" s="23" t="s">
        <v>194</v>
      </c>
      <c r="C71" s="24">
        <v>4058</v>
      </c>
    </row>
    <row r="72" spans="1:3" x14ac:dyDescent="0.3">
      <c r="A72" s="19" t="s">
        <v>204</v>
      </c>
      <c r="B72" s="20" t="s">
        <v>194</v>
      </c>
      <c r="C72" s="21">
        <v>6651</v>
      </c>
    </row>
    <row r="73" spans="1:3" x14ac:dyDescent="0.3">
      <c r="A73" s="22" t="s">
        <v>204</v>
      </c>
      <c r="B73" s="23" t="s">
        <v>194</v>
      </c>
      <c r="C73" s="24">
        <v>7431</v>
      </c>
    </row>
    <row r="74" spans="1:3" x14ac:dyDescent="0.3">
      <c r="A74" s="29" t="s">
        <v>269</v>
      </c>
      <c r="B74" s="23"/>
      <c r="C74" s="24">
        <f>SUBTOTAL(9,C70:C73)</f>
        <v>22008</v>
      </c>
    </row>
    <row r="75" spans="1:3" x14ac:dyDescent="0.3">
      <c r="A75" s="19" t="s">
        <v>197</v>
      </c>
      <c r="B75" s="20" t="s">
        <v>194</v>
      </c>
      <c r="C75" s="21">
        <v>2810</v>
      </c>
    </row>
    <row r="76" spans="1:3" x14ac:dyDescent="0.3">
      <c r="A76" s="22" t="s">
        <v>197</v>
      </c>
      <c r="B76" s="23" t="s">
        <v>194</v>
      </c>
      <c r="C76" s="24">
        <v>3114</v>
      </c>
    </row>
    <row r="77" spans="1:3" x14ac:dyDescent="0.3">
      <c r="A77" s="19" t="s">
        <v>197</v>
      </c>
      <c r="B77" s="20" t="s">
        <v>194</v>
      </c>
      <c r="C77" s="21">
        <v>6005</v>
      </c>
    </row>
    <row r="78" spans="1:3" x14ac:dyDescent="0.3">
      <c r="A78" s="22" t="s">
        <v>197</v>
      </c>
      <c r="B78" s="23" t="s">
        <v>194</v>
      </c>
      <c r="C78" s="24">
        <v>6565</v>
      </c>
    </row>
    <row r="79" spans="1:3" x14ac:dyDescent="0.3">
      <c r="A79" s="29" t="s">
        <v>270</v>
      </c>
      <c r="B79" s="23"/>
      <c r="C79" s="24">
        <f>SUBTOTAL(9,C75:C78)</f>
        <v>18494</v>
      </c>
    </row>
    <row r="80" spans="1:3" x14ac:dyDescent="0.3">
      <c r="A80" s="19" t="s">
        <v>187</v>
      </c>
      <c r="B80" s="20" t="s">
        <v>194</v>
      </c>
      <c r="C80" s="21">
        <v>3766</v>
      </c>
    </row>
    <row r="81" spans="1:3" x14ac:dyDescent="0.3">
      <c r="A81" s="22" t="s">
        <v>187</v>
      </c>
      <c r="B81" s="23" t="s">
        <v>194</v>
      </c>
      <c r="C81" s="24">
        <v>5021</v>
      </c>
    </row>
    <row r="82" spans="1:3" x14ac:dyDescent="0.3">
      <c r="A82" s="19" t="s">
        <v>187</v>
      </c>
      <c r="B82" s="20" t="s">
        <v>194</v>
      </c>
      <c r="C82" s="21">
        <v>6089</v>
      </c>
    </row>
    <row r="83" spans="1:3" x14ac:dyDescent="0.3">
      <c r="A83" s="22" t="s">
        <v>187</v>
      </c>
      <c r="B83" s="23" t="s">
        <v>194</v>
      </c>
      <c r="C83" s="24">
        <v>6368</v>
      </c>
    </row>
    <row r="84" spans="1:3" x14ac:dyDescent="0.3">
      <c r="A84" s="19" t="s">
        <v>187</v>
      </c>
      <c r="B84" s="20" t="s">
        <v>194</v>
      </c>
      <c r="C84" s="21">
        <v>6968</v>
      </c>
    </row>
    <row r="85" spans="1:3" x14ac:dyDescent="0.3">
      <c r="A85" s="22" t="s">
        <v>187</v>
      </c>
      <c r="B85" s="23" t="s">
        <v>194</v>
      </c>
      <c r="C85" s="24">
        <v>7317</v>
      </c>
    </row>
    <row r="86" spans="1:3" x14ac:dyDescent="0.3">
      <c r="A86" s="19" t="s">
        <v>187</v>
      </c>
      <c r="B86" s="20" t="s">
        <v>194</v>
      </c>
      <c r="C86" s="21">
        <v>8429</v>
      </c>
    </row>
    <row r="87" spans="1:3" x14ac:dyDescent="0.3">
      <c r="A87" s="25" t="s">
        <v>187</v>
      </c>
      <c r="B87" s="26" t="s">
        <v>194</v>
      </c>
      <c r="C87" s="27">
        <v>8575</v>
      </c>
    </row>
    <row r="88" spans="1:3" x14ac:dyDescent="0.3">
      <c r="A88" s="32" t="s">
        <v>264</v>
      </c>
      <c r="B88" s="30"/>
      <c r="C88" s="31">
        <f>SUBTOTAL(9,C80:C87)</f>
        <v>52533</v>
      </c>
    </row>
    <row r="89" spans="1:3" x14ac:dyDescent="0.3">
      <c r="A89" s="32" t="s">
        <v>271</v>
      </c>
      <c r="B89" s="30"/>
      <c r="C89" s="31">
        <f>SUBTOTAL(9,C14:C87)</f>
        <v>371396</v>
      </c>
    </row>
  </sheetData>
  <sortState ref="A14:C87">
    <sortCondition ref="B14"/>
  </sortState>
  <pageMargins left="0.7" right="0.7" top="0.75" bottom="0.75" header="0.3" footer="0.3"/>
  <pageSetup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3C27864C-F8AB-4AE2-9248-6AC71597E59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'Day 2 Practice'!B2:E2</xm:f>
              <xm:sqref>F2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9DFA4-1F76-40CF-A7F5-9A69D1569097}">
  <dimension ref="A3:B15"/>
  <sheetViews>
    <sheetView tabSelected="1" zoomScale="160" zoomScaleNormal="160" workbookViewId="0">
      <selection activeCell="D11" sqref="D11"/>
    </sheetView>
  </sheetViews>
  <sheetFormatPr defaultRowHeight="14.4" x14ac:dyDescent="0.3"/>
  <cols>
    <col min="1" max="1" width="12.5546875" bestFit="1" customWidth="1"/>
    <col min="2" max="2" width="11.77734375" bestFit="1" customWidth="1"/>
    <col min="3" max="5" width="7" bestFit="1" customWidth="1"/>
    <col min="6" max="6" width="10.77734375" bestFit="1" customWidth="1"/>
  </cols>
  <sheetData>
    <row r="3" spans="1:2" x14ac:dyDescent="0.3">
      <c r="A3" s="37" t="s">
        <v>426</v>
      </c>
      <c r="B3" t="s">
        <v>427</v>
      </c>
    </row>
    <row r="4" spans="1:2" x14ac:dyDescent="0.3">
      <c r="A4" s="38" t="s">
        <v>164</v>
      </c>
      <c r="B4" s="39">
        <v>396</v>
      </c>
    </row>
    <row r="5" spans="1:2" x14ac:dyDescent="0.3">
      <c r="A5" s="38" t="s">
        <v>160</v>
      </c>
      <c r="B5" s="39">
        <v>213</v>
      </c>
    </row>
    <row r="6" spans="1:2" x14ac:dyDescent="0.3">
      <c r="A6" s="38" t="s">
        <v>165</v>
      </c>
      <c r="B6" s="39">
        <v>125</v>
      </c>
    </row>
    <row r="7" spans="1:2" x14ac:dyDescent="0.3">
      <c r="A7" s="38" t="s">
        <v>175</v>
      </c>
      <c r="B7" s="39">
        <v>156</v>
      </c>
    </row>
    <row r="8" spans="1:2" x14ac:dyDescent="0.3">
      <c r="A8" s="38" t="s">
        <v>176</v>
      </c>
      <c r="B8" s="39">
        <v>170</v>
      </c>
    </row>
    <row r="9" spans="1:2" x14ac:dyDescent="0.3">
      <c r="A9" s="38" t="s">
        <v>161</v>
      </c>
      <c r="B9" s="39">
        <v>281</v>
      </c>
    </row>
    <row r="10" spans="1:2" x14ac:dyDescent="0.3">
      <c r="A10" s="38" t="s">
        <v>170</v>
      </c>
      <c r="B10" s="39">
        <v>89</v>
      </c>
    </row>
    <row r="11" spans="1:2" x14ac:dyDescent="0.3">
      <c r="A11" s="38" t="s">
        <v>154</v>
      </c>
      <c r="B11" s="39">
        <v>193</v>
      </c>
    </row>
    <row r="12" spans="1:2" x14ac:dyDescent="0.3">
      <c r="A12" s="38" t="s">
        <v>157</v>
      </c>
      <c r="B12" s="39">
        <v>173</v>
      </c>
    </row>
    <row r="13" spans="1:2" x14ac:dyDescent="0.3">
      <c r="A13" s="38" t="s">
        <v>171</v>
      </c>
      <c r="B13" s="39">
        <v>142</v>
      </c>
    </row>
    <row r="14" spans="1:2" x14ac:dyDescent="0.3">
      <c r="A14" s="38" t="s">
        <v>174</v>
      </c>
      <c r="B14" s="39">
        <v>183</v>
      </c>
    </row>
    <row r="15" spans="1:2" x14ac:dyDescent="0.3">
      <c r="A15" s="38" t="s">
        <v>271</v>
      </c>
      <c r="B15" s="39">
        <v>2121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AFC0C-CA53-4852-BB23-DB99B1F3D2F5}">
  <dimension ref="A3:B32"/>
  <sheetViews>
    <sheetView zoomScaleNormal="100" workbookViewId="0">
      <selection activeCell="B16" sqref="B16"/>
    </sheetView>
  </sheetViews>
  <sheetFormatPr defaultRowHeight="14.4" x14ac:dyDescent="0.3"/>
  <cols>
    <col min="1" max="1" width="16.109375" bestFit="1" customWidth="1"/>
    <col min="2" max="2" width="21" bestFit="1" customWidth="1"/>
  </cols>
  <sheetData>
    <row r="3" spans="1:2" x14ac:dyDescent="0.3">
      <c r="A3" s="37" t="s">
        <v>426</v>
      </c>
      <c r="B3" t="s">
        <v>2198</v>
      </c>
    </row>
    <row r="4" spans="1:2" x14ac:dyDescent="0.3">
      <c r="A4" s="38" t="s">
        <v>538</v>
      </c>
      <c r="B4" s="39">
        <v>17</v>
      </c>
    </row>
    <row r="5" spans="1:2" x14ac:dyDescent="0.3">
      <c r="A5" s="38" t="s">
        <v>443</v>
      </c>
      <c r="B5" s="39">
        <v>20</v>
      </c>
    </row>
    <row r="6" spans="1:2" x14ac:dyDescent="0.3">
      <c r="A6" s="38" t="s">
        <v>499</v>
      </c>
      <c r="B6" s="39">
        <v>31</v>
      </c>
    </row>
    <row r="7" spans="1:2" x14ac:dyDescent="0.3">
      <c r="A7" s="38" t="s">
        <v>456</v>
      </c>
      <c r="B7" s="39">
        <v>12</v>
      </c>
    </row>
    <row r="8" spans="1:2" x14ac:dyDescent="0.3">
      <c r="A8" s="38" t="s">
        <v>618</v>
      </c>
      <c r="B8" s="39">
        <v>27</v>
      </c>
    </row>
    <row r="9" spans="1:2" x14ac:dyDescent="0.3">
      <c r="A9" s="38" t="s">
        <v>482</v>
      </c>
      <c r="B9" s="39">
        <v>17</v>
      </c>
    </row>
    <row r="10" spans="1:2" x14ac:dyDescent="0.3">
      <c r="A10" s="38" t="s">
        <v>543</v>
      </c>
      <c r="B10" s="39">
        <v>24</v>
      </c>
    </row>
    <row r="11" spans="1:2" x14ac:dyDescent="0.3">
      <c r="A11" s="38" t="s">
        <v>710</v>
      </c>
      <c r="B11" s="39">
        <v>20</v>
      </c>
    </row>
    <row r="12" spans="1:2" x14ac:dyDescent="0.3">
      <c r="A12" s="38" t="s">
        <v>639</v>
      </c>
      <c r="B12" s="39">
        <v>23</v>
      </c>
    </row>
    <row r="13" spans="1:2" x14ac:dyDescent="0.3">
      <c r="A13" s="38" t="s">
        <v>694</v>
      </c>
      <c r="B13" s="39">
        <v>23</v>
      </c>
    </row>
    <row r="14" spans="1:2" x14ac:dyDescent="0.3">
      <c r="A14" s="38" t="s">
        <v>518</v>
      </c>
      <c r="B14" s="39">
        <v>21</v>
      </c>
    </row>
    <row r="15" spans="1:2" x14ac:dyDescent="0.3">
      <c r="A15" s="38" t="s">
        <v>565</v>
      </c>
      <c r="B15" s="39">
        <v>26</v>
      </c>
    </row>
    <row r="16" spans="1:2" x14ac:dyDescent="0.3">
      <c r="A16" s="38" t="s">
        <v>469</v>
      </c>
      <c r="B16" s="39">
        <v>16</v>
      </c>
    </row>
    <row r="17" spans="1:2" x14ac:dyDescent="0.3">
      <c r="A17" s="38" t="s">
        <v>754</v>
      </c>
      <c r="B17" s="39">
        <v>14</v>
      </c>
    </row>
    <row r="18" spans="1:2" x14ac:dyDescent="0.3">
      <c r="A18" s="38" t="s">
        <v>463</v>
      </c>
      <c r="B18" s="39">
        <v>26</v>
      </c>
    </row>
    <row r="19" spans="1:2" x14ac:dyDescent="0.3">
      <c r="A19" s="38" t="s">
        <v>476</v>
      </c>
      <c r="B19" s="39">
        <v>18</v>
      </c>
    </row>
    <row r="20" spans="1:2" x14ac:dyDescent="0.3">
      <c r="A20" s="38" t="s">
        <v>578</v>
      </c>
      <c r="B20" s="39">
        <v>19</v>
      </c>
    </row>
    <row r="21" spans="1:2" x14ac:dyDescent="0.3">
      <c r="A21" s="38" t="s">
        <v>583</v>
      </c>
      <c r="B21" s="39">
        <v>26</v>
      </c>
    </row>
    <row r="22" spans="1:2" x14ac:dyDescent="0.3">
      <c r="A22" s="38" t="s">
        <v>451</v>
      </c>
      <c r="B22" s="39">
        <v>19</v>
      </c>
    </row>
    <row r="23" spans="1:2" x14ac:dyDescent="0.3">
      <c r="A23" s="38" t="s">
        <v>488</v>
      </c>
      <c r="B23" s="39">
        <v>24</v>
      </c>
    </row>
    <row r="24" spans="1:2" x14ac:dyDescent="0.3">
      <c r="A24" s="38" t="s">
        <v>651</v>
      </c>
      <c r="B24" s="39">
        <v>17</v>
      </c>
    </row>
    <row r="25" spans="1:2" x14ac:dyDescent="0.3">
      <c r="A25" s="38" t="s">
        <v>504</v>
      </c>
      <c r="B25" s="39">
        <v>21</v>
      </c>
    </row>
    <row r="26" spans="1:2" x14ac:dyDescent="0.3">
      <c r="A26" s="38" t="s">
        <v>746</v>
      </c>
      <c r="B26" s="39">
        <v>22</v>
      </c>
    </row>
    <row r="27" spans="1:2" x14ac:dyDescent="0.3">
      <c r="A27" s="38" t="s">
        <v>560</v>
      </c>
      <c r="B27" s="39">
        <v>28</v>
      </c>
    </row>
    <row r="28" spans="1:2" x14ac:dyDescent="0.3">
      <c r="A28" s="38" t="s">
        <v>514</v>
      </c>
      <c r="B28" s="39">
        <v>17</v>
      </c>
    </row>
    <row r="29" spans="1:2" x14ac:dyDescent="0.3">
      <c r="A29" s="38" t="s">
        <v>528</v>
      </c>
      <c r="B29" s="39">
        <v>13</v>
      </c>
    </row>
    <row r="30" spans="1:2" x14ac:dyDescent="0.3">
      <c r="A30" s="38" t="s">
        <v>595</v>
      </c>
      <c r="B30" s="39">
        <v>20</v>
      </c>
    </row>
    <row r="31" spans="1:2" x14ac:dyDescent="0.3">
      <c r="A31" s="38" t="s">
        <v>682</v>
      </c>
      <c r="B31" s="39">
        <v>20</v>
      </c>
    </row>
    <row r="32" spans="1:2" x14ac:dyDescent="0.3">
      <c r="A32" s="38" t="s">
        <v>271</v>
      </c>
      <c r="B32" s="39">
        <v>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C5688-55C4-4DD3-9EE2-2A62F523DE50}">
  <dimension ref="A1:L582"/>
  <sheetViews>
    <sheetView workbookViewId="0">
      <selection activeCell="A14" sqref="A14"/>
    </sheetView>
  </sheetViews>
  <sheetFormatPr defaultRowHeight="14.4" x14ac:dyDescent="0.3"/>
  <cols>
    <col min="1" max="1" width="13.109375" bestFit="1" customWidth="1"/>
    <col min="2" max="2" width="16.77734375" bestFit="1" customWidth="1"/>
    <col min="3" max="3" width="8.33203125" bestFit="1" customWidth="1"/>
    <col min="4" max="4" width="14" bestFit="1" customWidth="1"/>
    <col min="5" max="5" width="10.33203125" bestFit="1" customWidth="1"/>
    <col min="6" max="6" width="20.77734375" bestFit="1" customWidth="1"/>
    <col min="7" max="7" width="24.6640625" bestFit="1" customWidth="1"/>
    <col min="8" max="8" width="16.109375" bestFit="1" customWidth="1"/>
    <col min="9" max="9" width="7.77734375" bestFit="1" customWidth="1"/>
    <col min="10" max="10" width="12.5546875" bestFit="1" customWidth="1"/>
    <col min="11" max="11" width="13.21875" bestFit="1" customWidth="1"/>
    <col min="12" max="12" width="14" bestFit="1" customWidth="1"/>
  </cols>
  <sheetData>
    <row r="1" spans="1:12" x14ac:dyDescent="0.3">
      <c r="A1" s="40" t="s">
        <v>428</v>
      </c>
      <c r="B1" s="40" t="s">
        <v>429</v>
      </c>
      <c r="C1" s="40" t="s">
        <v>430</v>
      </c>
      <c r="D1" s="40" t="s">
        <v>431</v>
      </c>
      <c r="E1" s="41" t="s">
        <v>432</v>
      </c>
      <c r="F1" s="40" t="s">
        <v>433</v>
      </c>
      <c r="G1" s="40" t="s">
        <v>434</v>
      </c>
      <c r="H1" s="40" t="s">
        <v>435</v>
      </c>
      <c r="I1" s="40" t="s">
        <v>307</v>
      </c>
      <c r="J1" s="40" t="s">
        <v>436</v>
      </c>
      <c r="K1" s="40" t="s">
        <v>151</v>
      </c>
      <c r="L1" s="40" t="s">
        <v>437</v>
      </c>
    </row>
    <row r="2" spans="1:12" x14ac:dyDescent="0.3">
      <c r="A2" s="34" t="s">
        <v>438</v>
      </c>
      <c r="B2" s="34" t="s">
        <v>439</v>
      </c>
      <c r="C2" s="34">
        <v>9</v>
      </c>
      <c r="D2" s="34">
        <v>8941</v>
      </c>
      <c r="E2" s="15" t="s">
        <v>440</v>
      </c>
      <c r="F2" s="34" t="s">
        <v>441</v>
      </c>
      <c r="G2" s="34" t="s">
        <v>442</v>
      </c>
      <c r="H2" s="34" t="s">
        <v>443</v>
      </c>
      <c r="I2" s="34" t="s">
        <v>384</v>
      </c>
      <c r="J2" s="34" t="s">
        <v>444</v>
      </c>
      <c r="K2" s="34" t="s">
        <v>445</v>
      </c>
      <c r="L2" s="34">
        <v>80469</v>
      </c>
    </row>
    <row r="3" spans="1:12" x14ac:dyDescent="0.3">
      <c r="A3" s="34" t="s">
        <v>446</v>
      </c>
      <c r="B3" s="34" t="s">
        <v>447</v>
      </c>
      <c r="C3" s="34">
        <v>9</v>
      </c>
      <c r="D3" s="34">
        <v>19827</v>
      </c>
      <c r="E3" s="15" t="s">
        <v>448</v>
      </c>
      <c r="F3" s="34" t="s">
        <v>449</v>
      </c>
      <c r="G3" s="34" t="s">
        <v>450</v>
      </c>
      <c r="H3" s="34" t="s">
        <v>451</v>
      </c>
      <c r="I3" s="34" t="s">
        <v>384</v>
      </c>
      <c r="J3" s="34" t="s">
        <v>444</v>
      </c>
      <c r="K3" s="34" t="s">
        <v>445</v>
      </c>
      <c r="L3" s="34">
        <v>178443</v>
      </c>
    </row>
    <row r="4" spans="1:12" x14ac:dyDescent="0.3">
      <c r="A4" s="34" t="s">
        <v>452</v>
      </c>
      <c r="B4" s="34" t="s">
        <v>447</v>
      </c>
      <c r="C4" s="34">
        <v>4</v>
      </c>
      <c r="D4" s="34">
        <v>16640</v>
      </c>
      <c r="E4" s="15" t="s">
        <v>453</v>
      </c>
      <c r="F4" s="34" t="s">
        <v>454</v>
      </c>
      <c r="G4" s="34" t="s">
        <v>455</v>
      </c>
      <c r="H4" s="34" t="s">
        <v>456</v>
      </c>
      <c r="I4" s="34" t="s">
        <v>384</v>
      </c>
      <c r="J4" s="34" t="s">
        <v>457</v>
      </c>
      <c r="K4" s="34" t="s">
        <v>445</v>
      </c>
      <c r="L4" s="34">
        <v>66560</v>
      </c>
    </row>
    <row r="5" spans="1:12" x14ac:dyDescent="0.3">
      <c r="A5" s="34" t="s">
        <v>458</v>
      </c>
      <c r="B5" s="34" t="s">
        <v>459</v>
      </c>
      <c r="C5" s="34">
        <v>3</v>
      </c>
      <c r="D5" s="34">
        <v>2945</v>
      </c>
      <c r="E5" s="15" t="s">
        <v>460</v>
      </c>
      <c r="F5" s="34" t="s">
        <v>461</v>
      </c>
      <c r="G5" s="34" t="s">
        <v>462</v>
      </c>
      <c r="H5" s="34" t="s">
        <v>463</v>
      </c>
      <c r="I5" s="34" t="s">
        <v>384</v>
      </c>
      <c r="J5" s="34" t="s">
        <v>457</v>
      </c>
      <c r="K5" s="34" t="s">
        <v>445</v>
      </c>
      <c r="L5" s="34">
        <v>8835</v>
      </c>
    </row>
    <row r="6" spans="1:12" x14ac:dyDescent="0.3">
      <c r="A6" s="34" t="s">
        <v>464</v>
      </c>
      <c r="B6" s="34" t="s">
        <v>465</v>
      </c>
      <c r="C6" s="34">
        <v>4</v>
      </c>
      <c r="D6" s="34">
        <v>2848</v>
      </c>
      <c r="E6" s="15" t="s">
        <v>466</v>
      </c>
      <c r="F6" s="34" t="s">
        <v>467</v>
      </c>
      <c r="G6" s="34" t="s">
        <v>468</v>
      </c>
      <c r="H6" s="34" t="s">
        <v>469</v>
      </c>
      <c r="I6" s="34" t="s">
        <v>384</v>
      </c>
      <c r="J6" s="34" t="s">
        <v>470</v>
      </c>
      <c r="K6" s="34" t="s">
        <v>471</v>
      </c>
      <c r="L6" s="34">
        <v>11392</v>
      </c>
    </row>
    <row r="7" spans="1:12" x14ac:dyDescent="0.3">
      <c r="A7" s="34" t="s">
        <v>472</v>
      </c>
      <c r="B7" s="34" t="s">
        <v>465</v>
      </c>
      <c r="C7" s="34">
        <v>7</v>
      </c>
      <c r="D7" s="34">
        <v>18703</v>
      </c>
      <c r="E7" s="15" t="s">
        <v>473</v>
      </c>
      <c r="F7" s="34" t="s">
        <v>474</v>
      </c>
      <c r="G7" s="34" t="s">
        <v>475</v>
      </c>
      <c r="H7" s="34" t="s">
        <v>476</v>
      </c>
      <c r="I7" s="34" t="s">
        <v>384</v>
      </c>
      <c r="J7" s="34" t="s">
        <v>444</v>
      </c>
      <c r="K7" s="34" t="s">
        <v>471</v>
      </c>
      <c r="L7" s="34">
        <v>130921</v>
      </c>
    </row>
    <row r="8" spans="1:12" x14ac:dyDescent="0.3">
      <c r="A8" s="34" t="s">
        <v>477</v>
      </c>
      <c r="B8" s="34" t="s">
        <v>478</v>
      </c>
      <c r="C8" s="34">
        <v>4</v>
      </c>
      <c r="D8" s="34">
        <v>9640</v>
      </c>
      <c r="E8" s="15" t="s">
        <v>479</v>
      </c>
      <c r="F8" s="34" t="s">
        <v>480</v>
      </c>
      <c r="G8" s="34" t="s">
        <v>481</v>
      </c>
      <c r="H8" s="34" t="s">
        <v>482</v>
      </c>
      <c r="I8" s="34" t="s">
        <v>384</v>
      </c>
      <c r="J8" s="34" t="s">
        <v>444</v>
      </c>
      <c r="K8" s="34" t="s">
        <v>445</v>
      </c>
      <c r="L8" s="34">
        <v>38560</v>
      </c>
    </row>
    <row r="9" spans="1:12" x14ac:dyDescent="0.3">
      <c r="A9" s="34" t="s">
        <v>483</v>
      </c>
      <c r="B9" s="34" t="s">
        <v>484</v>
      </c>
      <c r="C9" s="34">
        <v>7</v>
      </c>
      <c r="D9" s="34">
        <v>15189</v>
      </c>
      <c r="E9" s="15" t="s">
        <v>485</v>
      </c>
      <c r="F9" s="34" t="s">
        <v>486</v>
      </c>
      <c r="G9" s="34" t="s">
        <v>487</v>
      </c>
      <c r="H9" s="34" t="s">
        <v>488</v>
      </c>
      <c r="I9" s="34" t="s">
        <v>384</v>
      </c>
      <c r="J9" s="34" t="s">
        <v>457</v>
      </c>
      <c r="K9" s="34" t="s">
        <v>489</v>
      </c>
      <c r="L9" s="34">
        <v>106323</v>
      </c>
    </row>
    <row r="10" spans="1:12" x14ac:dyDescent="0.3">
      <c r="A10" s="34" t="s">
        <v>490</v>
      </c>
      <c r="B10" s="34" t="s">
        <v>478</v>
      </c>
      <c r="C10" s="34">
        <v>6</v>
      </c>
      <c r="D10" s="34">
        <v>4093</v>
      </c>
      <c r="E10" s="15" t="s">
        <v>491</v>
      </c>
      <c r="F10" s="34" t="s">
        <v>492</v>
      </c>
      <c r="G10" s="34" t="s">
        <v>493</v>
      </c>
      <c r="H10" s="34" t="s">
        <v>476</v>
      </c>
      <c r="I10" s="34" t="s">
        <v>384</v>
      </c>
      <c r="J10" s="34" t="s">
        <v>457</v>
      </c>
      <c r="K10" s="34" t="s">
        <v>178</v>
      </c>
      <c r="L10" s="34">
        <v>24558</v>
      </c>
    </row>
    <row r="11" spans="1:12" x14ac:dyDescent="0.3">
      <c r="A11" s="34" t="s">
        <v>494</v>
      </c>
      <c r="B11" s="34" t="s">
        <v>495</v>
      </c>
      <c r="C11" s="34">
        <v>8</v>
      </c>
      <c r="D11" s="34">
        <v>7088</v>
      </c>
      <c r="E11" s="15" t="s">
        <v>496</v>
      </c>
      <c r="F11" s="34" t="s">
        <v>497</v>
      </c>
      <c r="G11" s="34" t="s">
        <v>498</v>
      </c>
      <c r="H11" s="34" t="s">
        <v>499</v>
      </c>
      <c r="I11" s="34" t="s">
        <v>384</v>
      </c>
      <c r="J11" s="34" t="s">
        <v>457</v>
      </c>
      <c r="K11" s="34" t="s">
        <v>178</v>
      </c>
      <c r="L11" s="34">
        <v>56704</v>
      </c>
    </row>
    <row r="12" spans="1:12" x14ac:dyDescent="0.3">
      <c r="A12" s="34" t="s">
        <v>500</v>
      </c>
      <c r="B12" s="34" t="s">
        <v>439</v>
      </c>
      <c r="C12" s="34">
        <v>1</v>
      </c>
      <c r="D12" s="34">
        <v>11790</v>
      </c>
      <c r="E12" s="15" t="s">
        <v>501</v>
      </c>
      <c r="F12" s="34" t="s">
        <v>502</v>
      </c>
      <c r="G12" s="34" t="s">
        <v>503</v>
      </c>
      <c r="H12" s="34" t="s">
        <v>504</v>
      </c>
      <c r="I12" s="34" t="s">
        <v>384</v>
      </c>
      <c r="J12" s="34" t="s">
        <v>457</v>
      </c>
      <c r="K12" s="34" t="s">
        <v>178</v>
      </c>
      <c r="L12" s="34">
        <v>11790</v>
      </c>
    </row>
    <row r="13" spans="1:12" x14ac:dyDescent="0.3">
      <c r="A13" s="34" t="s">
        <v>505</v>
      </c>
      <c r="B13" s="34" t="s">
        <v>506</v>
      </c>
      <c r="C13" s="34">
        <v>9</v>
      </c>
      <c r="D13" s="34">
        <v>19740</v>
      </c>
      <c r="E13" s="15" t="s">
        <v>460</v>
      </c>
      <c r="F13" s="34" t="s">
        <v>507</v>
      </c>
      <c r="G13" s="34" t="s">
        <v>508</v>
      </c>
      <c r="H13" s="34" t="s">
        <v>499</v>
      </c>
      <c r="I13" s="34" t="s">
        <v>384</v>
      </c>
      <c r="J13" s="34" t="s">
        <v>470</v>
      </c>
      <c r="K13" s="34" t="s">
        <v>445</v>
      </c>
      <c r="L13" s="34">
        <v>177660</v>
      </c>
    </row>
    <row r="14" spans="1:12" x14ac:dyDescent="0.3">
      <c r="A14" s="34" t="s">
        <v>509</v>
      </c>
      <c r="B14" s="34" t="s">
        <v>510</v>
      </c>
      <c r="C14" s="34">
        <v>5</v>
      </c>
      <c r="D14" s="34">
        <v>19143</v>
      </c>
      <c r="E14" s="15" t="s">
        <v>511</v>
      </c>
      <c r="F14" s="34" t="s">
        <v>512</v>
      </c>
      <c r="G14" s="34" t="s">
        <v>513</v>
      </c>
      <c r="H14" s="34" t="s">
        <v>514</v>
      </c>
      <c r="I14" s="34" t="s">
        <v>384</v>
      </c>
      <c r="J14" s="34" t="s">
        <v>444</v>
      </c>
      <c r="K14" s="34" t="s">
        <v>178</v>
      </c>
      <c r="L14" s="34">
        <v>95715</v>
      </c>
    </row>
    <row r="15" spans="1:12" x14ac:dyDescent="0.3">
      <c r="A15" s="34" t="s">
        <v>515</v>
      </c>
      <c r="B15" s="34" t="s">
        <v>447</v>
      </c>
      <c r="C15" s="34">
        <v>7</v>
      </c>
      <c r="D15" s="34">
        <v>5387</v>
      </c>
      <c r="E15" s="15" t="s">
        <v>466</v>
      </c>
      <c r="F15" s="34" t="s">
        <v>516</v>
      </c>
      <c r="G15" s="34" t="s">
        <v>517</v>
      </c>
      <c r="H15" s="34" t="s">
        <v>518</v>
      </c>
      <c r="I15" s="34" t="s">
        <v>384</v>
      </c>
      <c r="J15" s="34" t="s">
        <v>457</v>
      </c>
      <c r="K15" s="34" t="s">
        <v>489</v>
      </c>
      <c r="L15" s="34">
        <v>37709</v>
      </c>
    </row>
    <row r="16" spans="1:12" x14ac:dyDescent="0.3">
      <c r="A16" s="34" t="s">
        <v>519</v>
      </c>
      <c r="B16" s="34" t="s">
        <v>447</v>
      </c>
      <c r="C16" s="34">
        <v>6</v>
      </c>
      <c r="D16" s="34">
        <v>19724</v>
      </c>
      <c r="E16" s="15" t="s">
        <v>520</v>
      </c>
      <c r="F16" s="34" t="s">
        <v>521</v>
      </c>
      <c r="G16" s="34" t="s">
        <v>522</v>
      </c>
      <c r="H16" s="34" t="s">
        <v>463</v>
      </c>
      <c r="I16" s="34" t="s">
        <v>384</v>
      </c>
      <c r="J16" s="34" t="s">
        <v>470</v>
      </c>
      <c r="K16" s="34" t="s">
        <v>489</v>
      </c>
      <c r="L16" s="34">
        <v>118344</v>
      </c>
    </row>
    <row r="17" spans="1:12" x14ac:dyDescent="0.3">
      <c r="A17" s="34" t="s">
        <v>523</v>
      </c>
      <c r="B17" s="34" t="s">
        <v>524</v>
      </c>
      <c r="C17" s="34">
        <v>9</v>
      </c>
      <c r="D17" s="34">
        <v>7785</v>
      </c>
      <c r="E17" s="15" t="s">
        <v>525</v>
      </c>
      <c r="F17" s="34" t="s">
        <v>526</v>
      </c>
      <c r="G17" s="34" t="s">
        <v>527</v>
      </c>
      <c r="H17" s="34" t="s">
        <v>528</v>
      </c>
      <c r="I17" s="34" t="s">
        <v>384</v>
      </c>
      <c r="J17" s="34" t="s">
        <v>470</v>
      </c>
      <c r="K17" s="34" t="s">
        <v>489</v>
      </c>
      <c r="L17" s="34">
        <v>70065</v>
      </c>
    </row>
    <row r="18" spans="1:12" x14ac:dyDescent="0.3">
      <c r="A18" s="34" t="s">
        <v>529</v>
      </c>
      <c r="B18" s="34" t="s">
        <v>439</v>
      </c>
      <c r="C18" s="34">
        <v>3</v>
      </c>
      <c r="D18" s="34">
        <v>7262</v>
      </c>
      <c r="E18" s="15" t="s">
        <v>530</v>
      </c>
      <c r="F18" s="34" t="s">
        <v>531</v>
      </c>
      <c r="G18" s="34" t="s">
        <v>532</v>
      </c>
      <c r="H18" s="34" t="s">
        <v>451</v>
      </c>
      <c r="I18" s="34" t="s">
        <v>384</v>
      </c>
      <c r="J18" s="34" t="s">
        <v>457</v>
      </c>
      <c r="K18" s="34" t="s">
        <v>533</v>
      </c>
      <c r="L18" s="34">
        <v>21786</v>
      </c>
    </row>
    <row r="19" spans="1:12" x14ac:dyDescent="0.3">
      <c r="A19" s="34" t="s">
        <v>534</v>
      </c>
      <c r="B19" s="34" t="s">
        <v>510</v>
      </c>
      <c r="C19" s="34">
        <v>4</v>
      </c>
      <c r="D19" s="34">
        <v>2877</v>
      </c>
      <c r="E19" s="15" t="s">
        <v>535</v>
      </c>
      <c r="F19" s="34" t="s">
        <v>536</v>
      </c>
      <c r="G19" s="34" t="s">
        <v>537</v>
      </c>
      <c r="H19" s="34" t="s">
        <v>538</v>
      </c>
      <c r="I19" s="34" t="s">
        <v>384</v>
      </c>
      <c r="J19" s="34" t="s">
        <v>457</v>
      </c>
      <c r="K19" s="34" t="s">
        <v>533</v>
      </c>
      <c r="L19" s="34">
        <v>11508</v>
      </c>
    </row>
    <row r="20" spans="1:12" x14ac:dyDescent="0.3">
      <c r="A20" s="34" t="s">
        <v>539</v>
      </c>
      <c r="B20" s="34" t="s">
        <v>510</v>
      </c>
      <c r="C20" s="34">
        <v>8</v>
      </c>
      <c r="D20" s="34">
        <v>9997</v>
      </c>
      <c r="E20" s="15" t="s">
        <v>540</v>
      </c>
      <c r="F20" s="34" t="s">
        <v>541</v>
      </c>
      <c r="G20" s="34" t="s">
        <v>542</v>
      </c>
      <c r="H20" s="34" t="s">
        <v>543</v>
      </c>
      <c r="I20" s="34" t="s">
        <v>384</v>
      </c>
      <c r="J20" s="34" t="s">
        <v>470</v>
      </c>
      <c r="K20" s="34" t="s">
        <v>489</v>
      </c>
      <c r="L20" s="34">
        <v>79976</v>
      </c>
    </row>
    <row r="21" spans="1:12" x14ac:dyDescent="0.3">
      <c r="A21" s="34" t="s">
        <v>544</v>
      </c>
      <c r="B21" s="34" t="s">
        <v>510</v>
      </c>
      <c r="C21" s="34">
        <v>6</v>
      </c>
      <c r="D21" s="34">
        <v>2081</v>
      </c>
      <c r="E21" s="15" t="s">
        <v>545</v>
      </c>
      <c r="F21" s="34" t="s">
        <v>546</v>
      </c>
      <c r="G21" s="34" t="s">
        <v>547</v>
      </c>
      <c r="H21" s="34" t="s">
        <v>499</v>
      </c>
      <c r="I21" s="34" t="s">
        <v>384</v>
      </c>
      <c r="J21" s="34" t="s">
        <v>444</v>
      </c>
      <c r="K21" s="34" t="s">
        <v>533</v>
      </c>
      <c r="L21" s="34">
        <v>12486</v>
      </c>
    </row>
    <row r="22" spans="1:12" x14ac:dyDescent="0.3">
      <c r="A22" s="34" t="s">
        <v>548</v>
      </c>
      <c r="B22" s="34" t="s">
        <v>465</v>
      </c>
      <c r="C22" s="34">
        <v>4</v>
      </c>
      <c r="D22" s="34">
        <v>4246</v>
      </c>
      <c r="E22" s="15" t="s">
        <v>549</v>
      </c>
      <c r="F22" s="34" t="s">
        <v>550</v>
      </c>
      <c r="G22" s="34" t="s">
        <v>551</v>
      </c>
      <c r="H22" s="34" t="s">
        <v>528</v>
      </c>
      <c r="I22" s="34" t="s">
        <v>384</v>
      </c>
      <c r="J22" s="34" t="s">
        <v>457</v>
      </c>
      <c r="K22" s="34" t="s">
        <v>533</v>
      </c>
      <c r="L22" s="34">
        <v>16984</v>
      </c>
    </row>
    <row r="23" spans="1:12" x14ac:dyDescent="0.3">
      <c r="A23" s="34" t="s">
        <v>552</v>
      </c>
      <c r="B23" s="34" t="s">
        <v>465</v>
      </c>
      <c r="C23" s="34">
        <v>5</v>
      </c>
      <c r="D23" s="34">
        <v>14316</v>
      </c>
      <c r="E23" s="15" t="s">
        <v>553</v>
      </c>
      <c r="F23" s="34" t="s">
        <v>554</v>
      </c>
      <c r="G23" s="34" t="s">
        <v>555</v>
      </c>
      <c r="H23" s="34" t="s">
        <v>443</v>
      </c>
      <c r="I23" s="34" t="s">
        <v>384</v>
      </c>
      <c r="J23" s="34" t="s">
        <v>470</v>
      </c>
      <c r="K23" s="34" t="s">
        <v>178</v>
      </c>
      <c r="L23" s="34">
        <v>71580</v>
      </c>
    </row>
    <row r="24" spans="1:12" x14ac:dyDescent="0.3">
      <c r="A24" s="34" t="s">
        <v>556</v>
      </c>
      <c r="B24" s="34" t="s">
        <v>459</v>
      </c>
      <c r="C24" s="34">
        <v>6</v>
      </c>
      <c r="D24" s="34">
        <v>18074</v>
      </c>
      <c r="E24" s="15" t="s">
        <v>557</v>
      </c>
      <c r="F24" s="34" t="s">
        <v>558</v>
      </c>
      <c r="G24" s="34" t="s">
        <v>559</v>
      </c>
      <c r="H24" s="34" t="s">
        <v>560</v>
      </c>
      <c r="I24" s="34" t="s">
        <v>384</v>
      </c>
      <c r="J24" s="34" t="s">
        <v>457</v>
      </c>
      <c r="K24" s="34" t="s">
        <v>445</v>
      </c>
      <c r="L24" s="34">
        <v>108444</v>
      </c>
    </row>
    <row r="25" spans="1:12" x14ac:dyDescent="0.3">
      <c r="A25" s="34" t="s">
        <v>561</v>
      </c>
      <c r="B25" s="34" t="s">
        <v>524</v>
      </c>
      <c r="C25" s="34">
        <v>4</v>
      </c>
      <c r="D25" s="34">
        <v>14772</v>
      </c>
      <c r="E25" s="15" t="s">
        <v>562</v>
      </c>
      <c r="F25" s="34" t="s">
        <v>563</v>
      </c>
      <c r="G25" s="34" t="s">
        <v>564</v>
      </c>
      <c r="H25" s="34" t="s">
        <v>565</v>
      </c>
      <c r="I25" s="34" t="s">
        <v>384</v>
      </c>
      <c r="J25" s="34" t="s">
        <v>470</v>
      </c>
      <c r="K25" s="34" t="s">
        <v>471</v>
      </c>
      <c r="L25" s="34">
        <v>59088</v>
      </c>
    </row>
    <row r="26" spans="1:12" x14ac:dyDescent="0.3">
      <c r="A26" s="34" t="s">
        <v>566</v>
      </c>
      <c r="B26" s="34" t="s">
        <v>506</v>
      </c>
      <c r="C26" s="34">
        <v>4</v>
      </c>
      <c r="D26" s="34">
        <v>14215</v>
      </c>
      <c r="E26" s="15" t="s">
        <v>567</v>
      </c>
      <c r="F26" s="34" t="s">
        <v>568</v>
      </c>
      <c r="G26" s="34" t="s">
        <v>569</v>
      </c>
      <c r="H26" s="34" t="s">
        <v>565</v>
      </c>
      <c r="I26" s="34" t="s">
        <v>384</v>
      </c>
      <c r="J26" s="34" t="s">
        <v>470</v>
      </c>
      <c r="K26" s="34" t="s">
        <v>489</v>
      </c>
      <c r="L26" s="34">
        <v>56860</v>
      </c>
    </row>
    <row r="27" spans="1:12" x14ac:dyDescent="0.3">
      <c r="A27" s="34" t="s">
        <v>570</v>
      </c>
      <c r="B27" s="34" t="s">
        <v>484</v>
      </c>
      <c r="C27" s="34">
        <v>8</v>
      </c>
      <c r="D27" s="34">
        <v>6274</v>
      </c>
      <c r="E27" s="15" t="s">
        <v>571</v>
      </c>
      <c r="F27" s="34" t="s">
        <v>572</v>
      </c>
      <c r="G27" s="34" t="s">
        <v>573</v>
      </c>
      <c r="H27" s="34" t="s">
        <v>488</v>
      </c>
      <c r="I27" s="34" t="s">
        <v>384</v>
      </c>
      <c r="J27" s="34" t="s">
        <v>470</v>
      </c>
      <c r="K27" s="34" t="s">
        <v>533</v>
      </c>
      <c r="L27" s="34">
        <v>50192</v>
      </c>
    </row>
    <row r="28" spans="1:12" x14ac:dyDescent="0.3">
      <c r="A28" s="34" t="s">
        <v>574</v>
      </c>
      <c r="B28" s="34" t="s">
        <v>484</v>
      </c>
      <c r="C28" s="34">
        <v>8</v>
      </c>
      <c r="D28" s="34">
        <v>5670</v>
      </c>
      <c r="E28" s="15" t="s">
        <v>575</v>
      </c>
      <c r="F28" s="34" t="s">
        <v>576</v>
      </c>
      <c r="G28" s="34" t="s">
        <v>577</v>
      </c>
      <c r="H28" s="34" t="s">
        <v>578</v>
      </c>
      <c r="I28" s="34" t="s">
        <v>384</v>
      </c>
      <c r="J28" s="34" t="s">
        <v>444</v>
      </c>
      <c r="K28" s="34" t="s">
        <v>533</v>
      </c>
      <c r="L28" s="34">
        <v>45360</v>
      </c>
    </row>
    <row r="29" spans="1:12" x14ac:dyDescent="0.3">
      <c r="A29" s="34" t="s">
        <v>579</v>
      </c>
      <c r="B29" s="34" t="s">
        <v>447</v>
      </c>
      <c r="C29" s="34">
        <v>4</v>
      </c>
      <c r="D29" s="34">
        <v>8325</v>
      </c>
      <c r="E29" s="15" t="s">
        <v>580</v>
      </c>
      <c r="F29" s="34" t="s">
        <v>581</v>
      </c>
      <c r="G29" s="34" t="s">
        <v>582</v>
      </c>
      <c r="H29" s="34" t="s">
        <v>583</v>
      </c>
      <c r="I29" s="34" t="s">
        <v>384</v>
      </c>
      <c r="J29" s="34" t="s">
        <v>457</v>
      </c>
      <c r="K29" s="34" t="s">
        <v>533</v>
      </c>
      <c r="L29" s="34">
        <v>33300</v>
      </c>
    </row>
    <row r="30" spans="1:12" x14ac:dyDescent="0.3">
      <c r="A30" s="34" t="s">
        <v>584</v>
      </c>
      <c r="B30" s="34" t="s">
        <v>447</v>
      </c>
      <c r="C30" s="34">
        <v>3</v>
      </c>
      <c r="D30" s="34">
        <v>13195</v>
      </c>
      <c r="E30" s="15" t="s">
        <v>585</v>
      </c>
      <c r="F30" s="34" t="s">
        <v>586</v>
      </c>
      <c r="G30" s="34" t="s">
        <v>577</v>
      </c>
      <c r="H30" s="34" t="s">
        <v>528</v>
      </c>
      <c r="I30" s="34" t="s">
        <v>384</v>
      </c>
      <c r="J30" s="34" t="s">
        <v>444</v>
      </c>
      <c r="K30" s="34" t="s">
        <v>445</v>
      </c>
      <c r="L30" s="34">
        <v>39585</v>
      </c>
    </row>
    <row r="31" spans="1:12" x14ac:dyDescent="0.3">
      <c r="A31" s="34" t="s">
        <v>587</v>
      </c>
      <c r="B31" s="34" t="s">
        <v>459</v>
      </c>
      <c r="C31" s="34">
        <v>4</v>
      </c>
      <c r="D31" s="34">
        <v>7947</v>
      </c>
      <c r="E31" s="15" t="s">
        <v>588</v>
      </c>
      <c r="F31" s="34" t="s">
        <v>589</v>
      </c>
      <c r="G31" s="34" t="s">
        <v>590</v>
      </c>
      <c r="H31" s="34" t="s">
        <v>578</v>
      </c>
      <c r="I31" s="34" t="s">
        <v>384</v>
      </c>
      <c r="J31" s="34" t="s">
        <v>470</v>
      </c>
      <c r="K31" s="34" t="s">
        <v>471</v>
      </c>
      <c r="L31" s="34">
        <v>31788</v>
      </c>
    </row>
    <row r="32" spans="1:12" x14ac:dyDescent="0.3">
      <c r="A32" s="34" t="s">
        <v>591</v>
      </c>
      <c r="B32" s="34" t="s">
        <v>459</v>
      </c>
      <c r="C32" s="34">
        <v>8</v>
      </c>
      <c r="D32" s="34">
        <v>11358</v>
      </c>
      <c r="E32" s="15" t="s">
        <v>592</v>
      </c>
      <c r="F32" s="34" t="s">
        <v>593</v>
      </c>
      <c r="G32" s="34" t="s">
        <v>594</v>
      </c>
      <c r="H32" s="34" t="s">
        <v>595</v>
      </c>
      <c r="I32" s="34" t="s">
        <v>384</v>
      </c>
      <c r="J32" s="34" t="s">
        <v>444</v>
      </c>
      <c r="K32" s="34" t="s">
        <v>178</v>
      </c>
      <c r="L32" s="34">
        <v>90864</v>
      </c>
    </row>
    <row r="33" spans="1:12" x14ac:dyDescent="0.3">
      <c r="A33" s="34" t="s">
        <v>596</v>
      </c>
      <c r="B33" s="34" t="s">
        <v>524</v>
      </c>
      <c r="C33" s="34">
        <v>8</v>
      </c>
      <c r="D33" s="34">
        <v>15744</v>
      </c>
      <c r="E33" s="15" t="s">
        <v>597</v>
      </c>
      <c r="F33" s="34" t="s">
        <v>598</v>
      </c>
      <c r="G33" s="34" t="s">
        <v>599</v>
      </c>
      <c r="H33" s="34" t="s">
        <v>443</v>
      </c>
      <c r="I33" s="34" t="s">
        <v>384</v>
      </c>
      <c r="J33" s="34" t="s">
        <v>457</v>
      </c>
      <c r="K33" s="34" t="s">
        <v>489</v>
      </c>
      <c r="L33" s="34">
        <v>125952</v>
      </c>
    </row>
    <row r="34" spans="1:12" x14ac:dyDescent="0.3">
      <c r="A34" s="34" t="s">
        <v>600</v>
      </c>
      <c r="B34" s="34" t="s">
        <v>524</v>
      </c>
      <c r="C34" s="34">
        <v>6</v>
      </c>
      <c r="D34" s="34">
        <v>3080</v>
      </c>
      <c r="E34" s="15" t="s">
        <v>601</v>
      </c>
      <c r="F34" s="34" t="s">
        <v>602</v>
      </c>
      <c r="G34" s="34" t="s">
        <v>481</v>
      </c>
      <c r="H34" s="34" t="s">
        <v>456</v>
      </c>
      <c r="I34" s="34" t="s">
        <v>384</v>
      </c>
      <c r="J34" s="34" t="s">
        <v>457</v>
      </c>
      <c r="K34" s="34" t="s">
        <v>533</v>
      </c>
      <c r="L34" s="34">
        <v>18480</v>
      </c>
    </row>
    <row r="35" spans="1:12" x14ac:dyDescent="0.3">
      <c r="A35" s="34" t="s">
        <v>603</v>
      </c>
      <c r="B35" s="34" t="s">
        <v>439</v>
      </c>
      <c r="C35" s="34">
        <v>2</v>
      </c>
      <c r="D35" s="34">
        <v>3896</v>
      </c>
      <c r="E35" s="15" t="s">
        <v>604</v>
      </c>
      <c r="F35" s="34" t="s">
        <v>605</v>
      </c>
      <c r="G35" s="34" t="s">
        <v>606</v>
      </c>
      <c r="H35" s="34" t="s">
        <v>499</v>
      </c>
      <c r="I35" s="34" t="s">
        <v>384</v>
      </c>
      <c r="J35" s="34" t="s">
        <v>457</v>
      </c>
      <c r="K35" s="34" t="s">
        <v>471</v>
      </c>
      <c r="L35" s="34">
        <v>7792</v>
      </c>
    </row>
    <row r="36" spans="1:12" x14ac:dyDescent="0.3">
      <c r="A36" s="34" t="s">
        <v>607</v>
      </c>
      <c r="B36" s="34" t="s">
        <v>465</v>
      </c>
      <c r="C36" s="34">
        <v>3</v>
      </c>
      <c r="D36" s="34">
        <v>12383</v>
      </c>
      <c r="E36" s="15" t="s">
        <v>608</v>
      </c>
      <c r="F36" s="34" t="s">
        <v>609</v>
      </c>
      <c r="G36" s="34" t="s">
        <v>610</v>
      </c>
      <c r="H36" s="34" t="s">
        <v>560</v>
      </c>
      <c r="I36" s="34" t="s">
        <v>384</v>
      </c>
      <c r="J36" s="34" t="s">
        <v>444</v>
      </c>
      <c r="K36" s="34" t="s">
        <v>445</v>
      </c>
      <c r="L36" s="34">
        <v>37149</v>
      </c>
    </row>
    <row r="37" spans="1:12" x14ac:dyDescent="0.3">
      <c r="A37" s="34" t="s">
        <v>611</v>
      </c>
      <c r="B37" s="34" t="s">
        <v>484</v>
      </c>
      <c r="C37" s="34">
        <v>3</v>
      </c>
      <c r="D37" s="34">
        <v>10823</v>
      </c>
      <c r="E37" s="15" t="s">
        <v>460</v>
      </c>
      <c r="F37" s="34" t="s">
        <v>612</v>
      </c>
      <c r="G37" s="34" t="s">
        <v>613</v>
      </c>
      <c r="H37" s="34" t="s">
        <v>578</v>
      </c>
      <c r="I37" s="34" t="s">
        <v>384</v>
      </c>
      <c r="J37" s="34" t="s">
        <v>457</v>
      </c>
      <c r="K37" s="34" t="s">
        <v>178</v>
      </c>
      <c r="L37" s="34">
        <v>32469</v>
      </c>
    </row>
    <row r="38" spans="1:12" x14ac:dyDescent="0.3">
      <c r="A38" s="34" t="s">
        <v>614</v>
      </c>
      <c r="B38" s="34" t="s">
        <v>484</v>
      </c>
      <c r="C38" s="34">
        <v>9</v>
      </c>
      <c r="D38" s="34">
        <v>5049</v>
      </c>
      <c r="E38" s="15" t="s">
        <v>615</v>
      </c>
      <c r="F38" s="34" t="s">
        <v>616</v>
      </c>
      <c r="G38" s="34" t="s">
        <v>617</v>
      </c>
      <c r="H38" s="34" t="s">
        <v>618</v>
      </c>
      <c r="I38" s="34" t="s">
        <v>384</v>
      </c>
      <c r="J38" s="34" t="s">
        <v>444</v>
      </c>
      <c r="K38" s="34" t="s">
        <v>178</v>
      </c>
      <c r="L38" s="34">
        <v>45441</v>
      </c>
    </row>
    <row r="39" spans="1:12" x14ac:dyDescent="0.3">
      <c r="A39" s="34" t="s">
        <v>619</v>
      </c>
      <c r="B39" s="34" t="s">
        <v>478</v>
      </c>
      <c r="C39" s="34">
        <v>2</v>
      </c>
      <c r="D39" s="34">
        <v>12548</v>
      </c>
      <c r="E39" s="15" t="s">
        <v>620</v>
      </c>
      <c r="F39" s="34" t="s">
        <v>621</v>
      </c>
      <c r="G39" s="34" t="s">
        <v>622</v>
      </c>
      <c r="H39" s="34" t="s">
        <v>543</v>
      </c>
      <c r="I39" s="34" t="s">
        <v>384</v>
      </c>
      <c r="J39" s="34" t="s">
        <v>457</v>
      </c>
      <c r="K39" s="34" t="s">
        <v>445</v>
      </c>
      <c r="L39" s="34">
        <v>25096</v>
      </c>
    </row>
    <row r="40" spans="1:12" x14ac:dyDescent="0.3">
      <c r="A40" s="34" t="s">
        <v>623</v>
      </c>
      <c r="B40" s="34" t="s">
        <v>510</v>
      </c>
      <c r="C40" s="34">
        <v>6</v>
      </c>
      <c r="D40" s="34">
        <v>8432</v>
      </c>
      <c r="E40" s="15" t="s">
        <v>624</v>
      </c>
      <c r="F40" s="34" t="s">
        <v>625</v>
      </c>
      <c r="G40" s="34" t="s">
        <v>626</v>
      </c>
      <c r="H40" s="34" t="s">
        <v>443</v>
      </c>
      <c r="I40" s="34" t="s">
        <v>384</v>
      </c>
      <c r="J40" s="34" t="s">
        <v>470</v>
      </c>
      <c r="K40" s="34" t="s">
        <v>445</v>
      </c>
      <c r="L40" s="34">
        <v>50592</v>
      </c>
    </row>
    <row r="41" spans="1:12" x14ac:dyDescent="0.3">
      <c r="A41" s="34" t="s">
        <v>627</v>
      </c>
      <c r="B41" s="34" t="s">
        <v>459</v>
      </c>
      <c r="C41" s="34">
        <v>9</v>
      </c>
      <c r="D41" s="34">
        <v>13351</v>
      </c>
      <c r="E41" s="15" t="s">
        <v>628</v>
      </c>
      <c r="F41" s="34" t="s">
        <v>629</v>
      </c>
      <c r="G41" s="34" t="s">
        <v>630</v>
      </c>
      <c r="H41" s="34" t="s">
        <v>578</v>
      </c>
      <c r="I41" s="34" t="s">
        <v>384</v>
      </c>
      <c r="J41" s="34" t="s">
        <v>470</v>
      </c>
      <c r="K41" s="34" t="s">
        <v>489</v>
      </c>
      <c r="L41" s="34">
        <v>120159</v>
      </c>
    </row>
    <row r="42" spans="1:12" x14ac:dyDescent="0.3">
      <c r="A42" s="34" t="s">
        <v>631</v>
      </c>
      <c r="B42" s="34" t="s">
        <v>524</v>
      </c>
      <c r="C42" s="34">
        <v>5</v>
      </c>
      <c r="D42" s="34">
        <v>16286</v>
      </c>
      <c r="E42" s="15" t="s">
        <v>632</v>
      </c>
      <c r="F42" s="34" t="s">
        <v>633</v>
      </c>
      <c r="G42" s="34" t="s">
        <v>634</v>
      </c>
      <c r="H42" s="34" t="s">
        <v>618</v>
      </c>
      <c r="I42" s="34" t="s">
        <v>384</v>
      </c>
      <c r="J42" s="34" t="s">
        <v>470</v>
      </c>
      <c r="K42" s="34" t="s">
        <v>471</v>
      </c>
      <c r="L42" s="34">
        <v>81430</v>
      </c>
    </row>
    <row r="43" spans="1:12" x14ac:dyDescent="0.3">
      <c r="A43" s="34" t="s">
        <v>635</v>
      </c>
      <c r="B43" s="34" t="s">
        <v>465</v>
      </c>
      <c r="C43" s="34">
        <v>1</v>
      </c>
      <c r="D43" s="34">
        <v>4978</v>
      </c>
      <c r="E43" s="15" t="s">
        <v>636</v>
      </c>
      <c r="F43" s="34" t="s">
        <v>637</v>
      </c>
      <c r="G43" s="34" t="s">
        <v>638</v>
      </c>
      <c r="H43" s="34" t="s">
        <v>639</v>
      </c>
      <c r="I43" s="34" t="s">
        <v>384</v>
      </c>
      <c r="J43" s="34" t="s">
        <v>470</v>
      </c>
      <c r="K43" s="34" t="s">
        <v>533</v>
      </c>
      <c r="L43" s="34">
        <v>4978</v>
      </c>
    </row>
    <row r="44" spans="1:12" x14ac:dyDescent="0.3">
      <c r="A44" s="34" t="s">
        <v>640</v>
      </c>
      <c r="B44" s="34" t="s">
        <v>478</v>
      </c>
      <c r="C44" s="34">
        <v>3</v>
      </c>
      <c r="D44" s="34">
        <v>10629</v>
      </c>
      <c r="E44" s="15" t="s">
        <v>641</v>
      </c>
      <c r="F44" s="34" t="s">
        <v>642</v>
      </c>
      <c r="G44" s="34" t="s">
        <v>643</v>
      </c>
      <c r="H44" s="34" t="s">
        <v>565</v>
      </c>
      <c r="I44" s="34" t="s">
        <v>384</v>
      </c>
      <c r="J44" s="34" t="s">
        <v>444</v>
      </c>
      <c r="K44" s="34" t="s">
        <v>533</v>
      </c>
      <c r="L44" s="34">
        <v>31887</v>
      </c>
    </row>
    <row r="45" spans="1:12" x14ac:dyDescent="0.3">
      <c r="A45" s="34" t="s">
        <v>644</v>
      </c>
      <c r="B45" s="34" t="s">
        <v>524</v>
      </c>
      <c r="C45" s="34">
        <v>6</v>
      </c>
      <c r="D45" s="34">
        <v>7312</v>
      </c>
      <c r="E45" s="15" t="s">
        <v>645</v>
      </c>
      <c r="F45" s="34" t="s">
        <v>646</v>
      </c>
      <c r="G45" s="34" t="s">
        <v>647</v>
      </c>
      <c r="H45" s="34" t="s">
        <v>451</v>
      </c>
      <c r="I45" s="34" t="s">
        <v>384</v>
      </c>
      <c r="J45" s="34" t="s">
        <v>444</v>
      </c>
      <c r="K45" s="34" t="s">
        <v>471</v>
      </c>
      <c r="L45" s="34">
        <v>43872</v>
      </c>
    </row>
    <row r="46" spans="1:12" x14ac:dyDescent="0.3">
      <c r="A46" s="34" t="s">
        <v>648</v>
      </c>
      <c r="B46" s="34" t="s">
        <v>439</v>
      </c>
      <c r="C46" s="34">
        <v>6</v>
      </c>
      <c r="D46" s="34">
        <v>5963</v>
      </c>
      <c r="E46" s="15" t="s">
        <v>649</v>
      </c>
      <c r="F46" s="34" t="s">
        <v>650</v>
      </c>
      <c r="G46" s="34" t="s">
        <v>450</v>
      </c>
      <c r="H46" s="34" t="s">
        <v>651</v>
      </c>
      <c r="I46" s="34" t="s">
        <v>384</v>
      </c>
      <c r="J46" s="34" t="s">
        <v>457</v>
      </c>
      <c r="K46" s="34" t="s">
        <v>489</v>
      </c>
      <c r="L46" s="34">
        <v>35778</v>
      </c>
    </row>
    <row r="47" spans="1:12" x14ac:dyDescent="0.3">
      <c r="A47" s="34" t="s">
        <v>652</v>
      </c>
      <c r="B47" s="34" t="s">
        <v>447</v>
      </c>
      <c r="C47" s="34">
        <v>1</v>
      </c>
      <c r="D47" s="34">
        <v>4437</v>
      </c>
      <c r="E47" s="15" t="s">
        <v>653</v>
      </c>
      <c r="F47" s="34" t="s">
        <v>654</v>
      </c>
      <c r="G47" s="34" t="s">
        <v>655</v>
      </c>
      <c r="H47" s="34" t="s">
        <v>565</v>
      </c>
      <c r="I47" s="34" t="s">
        <v>384</v>
      </c>
      <c r="J47" s="34" t="s">
        <v>470</v>
      </c>
      <c r="K47" s="34" t="s">
        <v>178</v>
      </c>
      <c r="L47" s="34">
        <v>4437</v>
      </c>
    </row>
    <row r="48" spans="1:12" x14ac:dyDescent="0.3">
      <c r="A48" s="34" t="s">
        <v>656</v>
      </c>
      <c r="B48" s="34" t="s">
        <v>439</v>
      </c>
      <c r="C48" s="34">
        <v>9</v>
      </c>
      <c r="D48" s="34">
        <v>9000</v>
      </c>
      <c r="E48" s="15" t="s">
        <v>657</v>
      </c>
      <c r="F48" s="34" t="s">
        <v>658</v>
      </c>
      <c r="G48" s="34" t="s">
        <v>659</v>
      </c>
      <c r="H48" s="34" t="s">
        <v>504</v>
      </c>
      <c r="I48" s="34" t="s">
        <v>384</v>
      </c>
      <c r="J48" s="34" t="s">
        <v>444</v>
      </c>
      <c r="K48" s="34" t="s">
        <v>178</v>
      </c>
      <c r="L48" s="34">
        <v>81000</v>
      </c>
    </row>
    <row r="49" spans="1:12" x14ac:dyDescent="0.3">
      <c r="A49" s="34" t="s">
        <v>660</v>
      </c>
      <c r="B49" s="34" t="s">
        <v>439</v>
      </c>
      <c r="C49" s="34">
        <v>2</v>
      </c>
      <c r="D49" s="34">
        <v>4321</v>
      </c>
      <c r="E49" s="15" t="s">
        <v>448</v>
      </c>
      <c r="F49" s="34" t="s">
        <v>661</v>
      </c>
      <c r="G49" s="34" t="s">
        <v>662</v>
      </c>
      <c r="H49" s="34" t="s">
        <v>595</v>
      </c>
      <c r="I49" s="34" t="s">
        <v>384</v>
      </c>
      <c r="J49" s="34" t="s">
        <v>470</v>
      </c>
      <c r="K49" s="34" t="s">
        <v>445</v>
      </c>
      <c r="L49" s="34">
        <v>8642</v>
      </c>
    </row>
    <row r="50" spans="1:12" x14ac:dyDescent="0.3">
      <c r="A50" s="34" t="s">
        <v>663</v>
      </c>
      <c r="B50" s="34" t="s">
        <v>510</v>
      </c>
      <c r="C50" s="34">
        <v>2</v>
      </c>
      <c r="D50" s="34">
        <v>12180</v>
      </c>
      <c r="E50" s="15" t="s">
        <v>664</v>
      </c>
      <c r="F50" s="34" t="s">
        <v>665</v>
      </c>
      <c r="G50" s="34" t="s">
        <v>666</v>
      </c>
      <c r="H50" s="34" t="s">
        <v>538</v>
      </c>
      <c r="I50" s="34" t="s">
        <v>384</v>
      </c>
      <c r="J50" s="34" t="s">
        <v>444</v>
      </c>
      <c r="K50" s="34" t="s">
        <v>445</v>
      </c>
      <c r="L50" s="34">
        <v>24360</v>
      </c>
    </row>
    <row r="51" spans="1:12" x14ac:dyDescent="0.3">
      <c r="A51" s="34" t="s">
        <v>667</v>
      </c>
      <c r="B51" s="34" t="s">
        <v>465</v>
      </c>
      <c r="C51" s="34">
        <v>1</v>
      </c>
      <c r="D51" s="34">
        <v>4360</v>
      </c>
      <c r="E51" s="15" t="s">
        <v>664</v>
      </c>
      <c r="F51" s="34" t="s">
        <v>668</v>
      </c>
      <c r="G51" s="34" t="s">
        <v>669</v>
      </c>
      <c r="H51" s="34" t="s">
        <v>456</v>
      </c>
      <c r="I51" s="34" t="s">
        <v>384</v>
      </c>
      <c r="J51" s="34" t="s">
        <v>444</v>
      </c>
      <c r="K51" s="34" t="s">
        <v>489</v>
      </c>
      <c r="L51" s="34">
        <v>4360</v>
      </c>
    </row>
    <row r="52" spans="1:12" x14ac:dyDescent="0.3">
      <c r="A52" s="34" t="s">
        <v>670</v>
      </c>
      <c r="B52" s="34" t="s">
        <v>510</v>
      </c>
      <c r="C52" s="34">
        <v>4</v>
      </c>
      <c r="D52" s="34">
        <v>12400</v>
      </c>
      <c r="E52" s="15" t="s">
        <v>671</v>
      </c>
      <c r="F52" s="34" t="s">
        <v>672</v>
      </c>
      <c r="G52" s="34" t="s">
        <v>673</v>
      </c>
      <c r="H52" s="34" t="s">
        <v>514</v>
      </c>
      <c r="I52" s="34" t="s">
        <v>384</v>
      </c>
      <c r="J52" s="34" t="s">
        <v>470</v>
      </c>
      <c r="K52" s="34" t="s">
        <v>533</v>
      </c>
      <c r="L52" s="34">
        <v>49600</v>
      </c>
    </row>
    <row r="53" spans="1:12" x14ac:dyDescent="0.3">
      <c r="A53" s="34" t="s">
        <v>674</v>
      </c>
      <c r="B53" s="34" t="s">
        <v>495</v>
      </c>
      <c r="C53" s="34">
        <v>9</v>
      </c>
      <c r="D53" s="34">
        <v>15553</v>
      </c>
      <c r="E53" s="15" t="s">
        <v>675</v>
      </c>
      <c r="F53" s="34" t="s">
        <v>676</v>
      </c>
      <c r="G53" s="34" t="s">
        <v>677</v>
      </c>
      <c r="H53" s="34" t="s">
        <v>463</v>
      </c>
      <c r="I53" s="34" t="s">
        <v>384</v>
      </c>
      <c r="J53" s="34" t="s">
        <v>457</v>
      </c>
      <c r="K53" s="34" t="s">
        <v>445</v>
      </c>
      <c r="L53" s="34">
        <v>139977</v>
      </c>
    </row>
    <row r="54" spans="1:12" x14ac:dyDescent="0.3">
      <c r="A54" s="34" t="s">
        <v>678</v>
      </c>
      <c r="B54" s="34" t="s">
        <v>478</v>
      </c>
      <c r="C54" s="34">
        <v>9</v>
      </c>
      <c r="D54" s="34">
        <v>2337</v>
      </c>
      <c r="E54" s="15" t="s">
        <v>679</v>
      </c>
      <c r="F54" s="34" t="s">
        <v>680</v>
      </c>
      <c r="G54" s="34" t="s">
        <v>681</v>
      </c>
      <c r="H54" s="34" t="s">
        <v>682</v>
      </c>
      <c r="I54" s="34" t="s">
        <v>384</v>
      </c>
      <c r="J54" s="34" t="s">
        <v>470</v>
      </c>
      <c r="K54" s="34" t="s">
        <v>445</v>
      </c>
      <c r="L54" s="34">
        <v>21033</v>
      </c>
    </row>
    <row r="55" spans="1:12" x14ac:dyDescent="0.3">
      <c r="A55" s="34" t="s">
        <v>683</v>
      </c>
      <c r="B55" s="34" t="s">
        <v>447</v>
      </c>
      <c r="C55" s="34">
        <v>5</v>
      </c>
      <c r="D55" s="34">
        <v>18457</v>
      </c>
      <c r="E55" s="15" t="s">
        <v>684</v>
      </c>
      <c r="F55" s="34" t="s">
        <v>685</v>
      </c>
      <c r="G55" s="34" t="s">
        <v>686</v>
      </c>
      <c r="H55" s="34" t="s">
        <v>543</v>
      </c>
      <c r="I55" s="34" t="s">
        <v>384</v>
      </c>
      <c r="J55" s="34" t="s">
        <v>470</v>
      </c>
      <c r="K55" s="34" t="s">
        <v>178</v>
      </c>
      <c r="L55" s="34">
        <v>92285</v>
      </c>
    </row>
    <row r="56" spans="1:12" x14ac:dyDescent="0.3">
      <c r="A56" s="34" t="s">
        <v>687</v>
      </c>
      <c r="B56" s="34" t="s">
        <v>465</v>
      </c>
      <c r="C56" s="34">
        <v>5</v>
      </c>
      <c r="D56" s="34">
        <v>19124</v>
      </c>
      <c r="E56" s="15" t="s">
        <v>688</v>
      </c>
      <c r="F56" s="34" t="s">
        <v>689</v>
      </c>
      <c r="G56" s="34" t="s">
        <v>690</v>
      </c>
      <c r="H56" s="34" t="s">
        <v>560</v>
      </c>
      <c r="I56" s="34" t="s">
        <v>384</v>
      </c>
      <c r="J56" s="34" t="s">
        <v>470</v>
      </c>
      <c r="K56" s="34" t="s">
        <v>445</v>
      </c>
      <c r="L56" s="34">
        <v>95620</v>
      </c>
    </row>
    <row r="57" spans="1:12" x14ac:dyDescent="0.3">
      <c r="A57" s="34" t="s">
        <v>691</v>
      </c>
      <c r="B57" s="34" t="s">
        <v>484</v>
      </c>
      <c r="C57" s="34">
        <v>1</v>
      </c>
      <c r="D57" s="34">
        <v>5248</v>
      </c>
      <c r="E57" s="15" t="s">
        <v>588</v>
      </c>
      <c r="F57" s="34" t="s">
        <v>692</v>
      </c>
      <c r="G57" s="34" t="s">
        <v>693</v>
      </c>
      <c r="H57" s="34" t="s">
        <v>694</v>
      </c>
      <c r="I57" s="34" t="s">
        <v>384</v>
      </c>
      <c r="J57" s="34" t="s">
        <v>470</v>
      </c>
      <c r="K57" s="34" t="s">
        <v>533</v>
      </c>
      <c r="L57" s="34">
        <v>5248</v>
      </c>
    </row>
    <row r="58" spans="1:12" x14ac:dyDescent="0.3">
      <c r="A58" s="34" t="s">
        <v>695</v>
      </c>
      <c r="B58" s="34" t="s">
        <v>524</v>
      </c>
      <c r="C58" s="34">
        <v>4</v>
      </c>
      <c r="D58" s="34">
        <v>2739</v>
      </c>
      <c r="E58" s="15" t="s">
        <v>696</v>
      </c>
      <c r="F58" s="34" t="s">
        <v>697</v>
      </c>
      <c r="G58" s="34" t="s">
        <v>698</v>
      </c>
      <c r="H58" s="34" t="s">
        <v>538</v>
      </c>
      <c r="I58" s="34" t="s">
        <v>384</v>
      </c>
      <c r="J58" s="34" t="s">
        <v>444</v>
      </c>
      <c r="K58" s="34" t="s">
        <v>445</v>
      </c>
      <c r="L58" s="34">
        <v>10956</v>
      </c>
    </row>
    <row r="59" spans="1:12" x14ac:dyDescent="0.3">
      <c r="A59" s="34" t="s">
        <v>699</v>
      </c>
      <c r="B59" s="34" t="s">
        <v>459</v>
      </c>
      <c r="C59" s="34">
        <v>8</v>
      </c>
      <c r="D59" s="34">
        <v>15728</v>
      </c>
      <c r="E59" s="15" t="s">
        <v>700</v>
      </c>
      <c r="F59" s="34" t="s">
        <v>701</v>
      </c>
      <c r="G59" s="34" t="s">
        <v>702</v>
      </c>
      <c r="H59" s="34" t="s">
        <v>528</v>
      </c>
      <c r="I59" s="34" t="s">
        <v>384</v>
      </c>
      <c r="J59" s="34" t="s">
        <v>457</v>
      </c>
      <c r="K59" s="34" t="s">
        <v>489</v>
      </c>
      <c r="L59" s="34">
        <v>125824</v>
      </c>
    </row>
    <row r="60" spans="1:12" x14ac:dyDescent="0.3">
      <c r="A60" s="34" t="s">
        <v>703</v>
      </c>
      <c r="B60" s="34" t="s">
        <v>495</v>
      </c>
      <c r="C60" s="34">
        <v>4</v>
      </c>
      <c r="D60" s="34">
        <v>7390</v>
      </c>
      <c r="E60" s="15" t="s">
        <v>704</v>
      </c>
      <c r="F60" s="34" t="s">
        <v>705</v>
      </c>
      <c r="G60" s="34" t="s">
        <v>706</v>
      </c>
      <c r="H60" s="34" t="s">
        <v>538</v>
      </c>
      <c r="I60" s="34" t="s">
        <v>384</v>
      </c>
      <c r="J60" s="34" t="s">
        <v>457</v>
      </c>
      <c r="K60" s="34" t="s">
        <v>178</v>
      </c>
      <c r="L60" s="34">
        <v>29560</v>
      </c>
    </row>
    <row r="61" spans="1:12" x14ac:dyDescent="0.3">
      <c r="A61" s="34" t="s">
        <v>707</v>
      </c>
      <c r="B61" s="34" t="s">
        <v>447</v>
      </c>
      <c r="C61" s="34">
        <v>3</v>
      </c>
      <c r="D61" s="34">
        <v>10604</v>
      </c>
      <c r="E61" s="15" t="s">
        <v>708</v>
      </c>
      <c r="F61" s="34" t="s">
        <v>709</v>
      </c>
      <c r="G61" s="34" t="s">
        <v>532</v>
      </c>
      <c r="H61" s="34" t="s">
        <v>710</v>
      </c>
      <c r="I61" s="34" t="s">
        <v>384</v>
      </c>
      <c r="J61" s="34" t="s">
        <v>457</v>
      </c>
      <c r="K61" s="34" t="s">
        <v>471</v>
      </c>
      <c r="L61" s="34">
        <v>31812</v>
      </c>
    </row>
    <row r="62" spans="1:12" x14ac:dyDescent="0.3">
      <c r="A62" s="34" t="s">
        <v>711</v>
      </c>
      <c r="B62" s="34" t="s">
        <v>478</v>
      </c>
      <c r="C62" s="34">
        <v>2</v>
      </c>
      <c r="D62" s="34">
        <v>6267</v>
      </c>
      <c r="E62" s="15" t="s">
        <v>712</v>
      </c>
      <c r="F62" s="34" t="s">
        <v>713</v>
      </c>
      <c r="G62" s="34" t="s">
        <v>714</v>
      </c>
      <c r="H62" s="34" t="s">
        <v>618</v>
      </c>
      <c r="I62" s="34" t="s">
        <v>384</v>
      </c>
      <c r="J62" s="34" t="s">
        <v>470</v>
      </c>
      <c r="K62" s="34" t="s">
        <v>445</v>
      </c>
      <c r="L62" s="34">
        <v>12534</v>
      </c>
    </row>
    <row r="63" spans="1:12" x14ac:dyDescent="0.3">
      <c r="A63" s="34" t="s">
        <v>715</v>
      </c>
      <c r="B63" s="34" t="s">
        <v>484</v>
      </c>
      <c r="C63" s="34">
        <v>2</v>
      </c>
      <c r="D63" s="34">
        <v>15409</v>
      </c>
      <c r="E63" s="15" t="s">
        <v>716</v>
      </c>
      <c r="F63" s="34" t="s">
        <v>717</v>
      </c>
      <c r="G63" s="34" t="s">
        <v>455</v>
      </c>
      <c r="H63" s="34" t="s">
        <v>504</v>
      </c>
      <c r="I63" s="34" t="s">
        <v>384</v>
      </c>
      <c r="J63" s="34" t="s">
        <v>444</v>
      </c>
      <c r="K63" s="34" t="s">
        <v>178</v>
      </c>
      <c r="L63" s="34">
        <v>30818</v>
      </c>
    </row>
    <row r="64" spans="1:12" x14ac:dyDescent="0.3">
      <c r="A64" s="34" t="s">
        <v>718</v>
      </c>
      <c r="B64" s="34" t="s">
        <v>447</v>
      </c>
      <c r="C64" s="34">
        <v>3</v>
      </c>
      <c r="D64" s="34">
        <v>18562</v>
      </c>
      <c r="E64" s="15" t="s">
        <v>719</v>
      </c>
      <c r="F64" s="34" t="s">
        <v>720</v>
      </c>
      <c r="G64" s="34" t="s">
        <v>721</v>
      </c>
      <c r="H64" s="34" t="s">
        <v>499</v>
      </c>
      <c r="I64" s="34" t="s">
        <v>384</v>
      </c>
      <c r="J64" s="34" t="s">
        <v>470</v>
      </c>
      <c r="K64" s="34" t="s">
        <v>533</v>
      </c>
      <c r="L64" s="34">
        <v>55686</v>
      </c>
    </row>
    <row r="65" spans="1:12" x14ac:dyDescent="0.3">
      <c r="A65" s="34" t="s">
        <v>722</v>
      </c>
      <c r="B65" s="34" t="s">
        <v>439</v>
      </c>
      <c r="C65" s="34">
        <v>2</v>
      </c>
      <c r="D65" s="34">
        <v>12242</v>
      </c>
      <c r="E65" s="15" t="s">
        <v>723</v>
      </c>
      <c r="F65" s="34" t="s">
        <v>724</v>
      </c>
      <c r="G65" s="34" t="s">
        <v>725</v>
      </c>
      <c r="H65" s="34" t="s">
        <v>518</v>
      </c>
      <c r="I65" s="34" t="s">
        <v>384</v>
      </c>
      <c r="J65" s="34" t="s">
        <v>457</v>
      </c>
      <c r="K65" s="34" t="s">
        <v>445</v>
      </c>
      <c r="L65" s="34">
        <v>24484</v>
      </c>
    </row>
    <row r="66" spans="1:12" x14ac:dyDescent="0.3">
      <c r="A66" s="34" t="s">
        <v>726</v>
      </c>
      <c r="B66" s="34" t="s">
        <v>439</v>
      </c>
      <c r="C66" s="34">
        <v>5</v>
      </c>
      <c r="D66" s="34">
        <v>10977</v>
      </c>
      <c r="E66" s="15" t="s">
        <v>727</v>
      </c>
      <c r="F66" s="34" t="s">
        <v>728</v>
      </c>
      <c r="G66" s="34" t="s">
        <v>729</v>
      </c>
      <c r="H66" s="34" t="s">
        <v>682</v>
      </c>
      <c r="I66" s="34" t="s">
        <v>384</v>
      </c>
      <c r="J66" s="34" t="s">
        <v>444</v>
      </c>
      <c r="K66" s="34" t="s">
        <v>489</v>
      </c>
      <c r="L66" s="34">
        <v>54885</v>
      </c>
    </row>
    <row r="67" spans="1:12" x14ac:dyDescent="0.3">
      <c r="A67" s="34" t="s">
        <v>730</v>
      </c>
      <c r="B67" s="34" t="s">
        <v>459</v>
      </c>
      <c r="C67" s="34">
        <v>3</v>
      </c>
      <c r="D67" s="34">
        <v>19091</v>
      </c>
      <c r="E67" s="15" t="s">
        <v>731</v>
      </c>
      <c r="F67" s="34" t="s">
        <v>732</v>
      </c>
      <c r="G67" s="34" t="s">
        <v>733</v>
      </c>
      <c r="H67" s="34" t="s">
        <v>682</v>
      </c>
      <c r="I67" s="34" t="s">
        <v>384</v>
      </c>
      <c r="J67" s="34" t="s">
        <v>457</v>
      </c>
      <c r="K67" s="34" t="s">
        <v>471</v>
      </c>
      <c r="L67" s="34">
        <v>57273</v>
      </c>
    </row>
    <row r="68" spans="1:12" x14ac:dyDescent="0.3">
      <c r="A68" s="34" t="s">
        <v>734</v>
      </c>
      <c r="B68" s="34" t="s">
        <v>478</v>
      </c>
      <c r="C68" s="34">
        <v>6</v>
      </c>
      <c r="D68" s="34">
        <v>11557</v>
      </c>
      <c r="E68" s="15" t="s">
        <v>735</v>
      </c>
      <c r="F68" s="34" t="s">
        <v>736</v>
      </c>
      <c r="G68" s="34" t="s">
        <v>737</v>
      </c>
      <c r="H68" s="34" t="s">
        <v>639</v>
      </c>
      <c r="I68" s="34" t="s">
        <v>384</v>
      </c>
      <c r="J68" s="34" t="s">
        <v>457</v>
      </c>
      <c r="K68" s="34" t="s">
        <v>533</v>
      </c>
      <c r="L68" s="34">
        <v>69342</v>
      </c>
    </row>
    <row r="69" spans="1:12" x14ac:dyDescent="0.3">
      <c r="A69" s="34" t="s">
        <v>738</v>
      </c>
      <c r="B69" s="34" t="s">
        <v>484</v>
      </c>
      <c r="C69" s="34">
        <v>6</v>
      </c>
      <c r="D69" s="34">
        <v>16181</v>
      </c>
      <c r="E69" s="15" t="s">
        <v>739</v>
      </c>
      <c r="F69" s="34" t="s">
        <v>740</v>
      </c>
      <c r="G69" s="34" t="s">
        <v>741</v>
      </c>
      <c r="H69" s="34" t="s">
        <v>565</v>
      </c>
      <c r="I69" s="34" t="s">
        <v>384</v>
      </c>
      <c r="J69" s="34" t="s">
        <v>444</v>
      </c>
      <c r="K69" s="34" t="s">
        <v>489</v>
      </c>
      <c r="L69" s="34">
        <v>97086</v>
      </c>
    </row>
    <row r="70" spans="1:12" x14ac:dyDescent="0.3">
      <c r="A70" s="34" t="s">
        <v>742</v>
      </c>
      <c r="B70" s="34" t="s">
        <v>439</v>
      </c>
      <c r="C70" s="34">
        <v>6</v>
      </c>
      <c r="D70" s="34">
        <v>17480</v>
      </c>
      <c r="E70" s="15" t="s">
        <v>743</v>
      </c>
      <c r="F70" s="34" t="s">
        <v>744</v>
      </c>
      <c r="G70" s="34" t="s">
        <v>745</v>
      </c>
      <c r="H70" s="34" t="s">
        <v>746</v>
      </c>
      <c r="I70" s="34" t="s">
        <v>384</v>
      </c>
      <c r="J70" s="34" t="s">
        <v>444</v>
      </c>
      <c r="K70" s="34" t="s">
        <v>471</v>
      </c>
      <c r="L70" s="34">
        <v>104880</v>
      </c>
    </row>
    <row r="71" spans="1:12" x14ac:dyDescent="0.3">
      <c r="A71" s="34" t="s">
        <v>747</v>
      </c>
      <c r="B71" s="34" t="s">
        <v>495</v>
      </c>
      <c r="C71" s="34">
        <v>3</v>
      </c>
      <c r="D71" s="34">
        <v>16998</v>
      </c>
      <c r="E71" s="15" t="s">
        <v>748</v>
      </c>
      <c r="F71" s="34" t="s">
        <v>749</v>
      </c>
      <c r="G71" s="34" t="s">
        <v>690</v>
      </c>
      <c r="H71" s="34" t="s">
        <v>565</v>
      </c>
      <c r="I71" s="34" t="s">
        <v>384</v>
      </c>
      <c r="J71" s="34" t="s">
        <v>444</v>
      </c>
      <c r="K71" s="34" t="s">
        <v>533</v>
      </c>
      <c r="L71" s="34">
        <v>50994</v>
      </c>
    </row>
    <row r="72" spans="1:12" x14ac:dyDescent="0.3">
      <c r="A72" s="34" t="s">
        <v>750</v>
      </c>
      <c r="B72" s="34" t="s">
        <v>506</v>
      </c>
      <c r="C72" s="34">
        <v>6</v>
      </c>
      <c r="D72" s="34">
        <v>7330</v>
      </c>
      <c r="E72" s="15" t="s">
        <v>751</v>
      </c>
      <c r="F72" s="34" t="s">
        <v>752</v>
      </c>
      <c r="G72" s="34" t="s">
        <v>753</v>
      </c>
      <c r="H72" s="34" t="s">
        <v>754</v>
      </c>
      <c r="I72" s="34" t="s">
        <v>384</v>
      </c>
      <c r="J72" s="34" t="s">
        <v>444</v>
      </c>
      <c r="K72" s="34" t="s">
        <v>533</v>
      </c>
      <c r="L72" s="34">
        <v>43980</v>
      </c>
    </row>
    <row r="73" spans="1:12" x14ac:dyDescent="0.3">
      <c r="A73" s="34" t="s">
        <v>755</v>
      </c>
      <c r="B73" s="34" t="s">
        <v>506</v>
      </c>
      <c r="C73" s="34">
        <v>8</v>
      </c>
      <c r="D73" s="34">
        <v>11015</v>
      </c>
      <c r="E73" s="15" t="s">
        <v>756</v>
      </c>
      <c r="F73" s="34" t="s">
        <v>757</v>
      </c>
      <c r="G73" s="34" t="s">
        <v>758</v>
      </c>
      <c r="H73" s="34" t="s">
        <v>583</v>
      </c>
      <c r="I73" s="34" t="s">
        <v>384</v>
      </c>
      <c r="J73" s="34" t="s">
        <v>457</v>
      </c>
      <c r="K73" s="34" t="s">
        <v>471</v>
      </c>
      <c r="L73" s="34">
        <v>88120</v>
      </c>
    </row>
    <row r="74" spans="1:12" x14ac:dyDescent="0.3">
      <c r="A74" s="34" t="s">
        <v>759</v>
      </c>
      <c r="B74" s="34" t="s">
        <v>510</v>
      </c>
      <c r="C74" s="34">
        <v>8</v>
      </c>
      <c r="D74" s="34">
        <v>12417</v>
      </c>
      <c r="E74" s="15" t="s">
        <v>760</v>
      </c>
      <c r="F74" s="34" t="s">
        <v>761</v>
      </c>
      <c r="G74" s="34" t="s">
        <v>762</v>
      </c>
      <c r="H74" s="34" t="s">
        <v>499</v>
      </c>
      <c r="I74" s="34" t="s">
        <v>384</v>
      </c>
      <c r="J74" s="34" t="s">
        <v>444</v>
      </c>
      <c r="K74" s="34" t="s">
        <v>178</v>
      </c>
      <c r="L74" s="34">
        <v>99336</v>
      </c>
    </row>
    <row r="75" spans="1:12" x14ac:dyDescent="0.3">
      <c r="A75" s="34" t="s">
        <v>763</v>
      </c>
      <c r="B75" s="34" t="s">
        <v>459</v>
      </c>
      <c r="C75" s="34">
        <v>7</v>
      </c>
      <c r="D75" s="34">
        <v>17469</v>
      </c>
      <c r="E75" s="15" t="s">
        <v>764</v>
      </c>
      <c r="F75" s="34" t="s">
        <v>765</v>
      </c>
      <c r="G75" s="34" t="s">
        <v>766</v>
      </c>
      <c r="H75" s="34" t="s">
        <v>518</v>
      </c>
      <c r="I75" s="34" t="s">
        <v>384</v>
      </c>
      <c r="J75" s="34" t="s">
        <v>470</v>
      </c>
      <c r="K75" s="34" t="s">
        <v>533</v>
      </c>
      <c r="L75" s="34">
        <v>122283</v>
      </c>
    </row>
    <row r="76" spans="1:12" x14ac:dyDescent="0.3">
      <c r="A76" s="34" t="s">
        <v>767</v>
      </c>
      <c r="B76" s="34" t="s">
        <v>459</v>
      </c>
      <c r="C76" s="34">
        <v>2</v>
      </c>
      <c r="D76" s="34">
        <v>12483</v>
      </c>
      <c r="E76" s="15" t="s">
        <v>768</v>
      </c>
      <c r="F76" s="34" t="s">
        <v>769</v>
      </c>
      <c r="G76" s="34" t="s">
        <v>770</v>
      </c>
      <c r="H76" s="34" t="s">
        <v>476</v>
      </c>
      <c r="I76" s="34" t="s">
        <v>384</v>
      </c>
      <c r="J76" s="34" t="s">
        <v>444</v>
      </c>
      <c r="K76" s="34" t="s">
        <v>445</v>
      </c>
      <c r="L76" s="34">
        <v>24966</v>
      </c>
    </row>
    <row r="77" spans="1:12" x14ac:dyDescent="0.3">
      <c r="A77" s="34" t="s">
        <v>771</v>
      </c>
      <c r="B77" s="34" t="s">
        <v>459</v>
      </c>
      <c r="C77" s="34">
        <v>7</v>
      </c>
      <c r="D77" s="34">
        <v>16926</v>
      </c>
      <c r="E77" s="15" t="s">
        <v>772</v>
      </c>
      <c r="F77" s="34" t="s">
        <v>773</v>
      </c>
      <c r="G77" s="34" t="s">
        <v>774</v>
      </c>
      <c r="H77" s="34" t="s">
        <v>476</v>
      </c>
      <c r="I77" s="34" t="s">
        <v>384</v>
      </c>
      <c r="J77" s="34" t="s">
        <v>457</v>
      </c>
      <c r="K77" s="34" t="s">
        <v>178</v>
      </c>
      <c r="L77" s="34">
        <v>118482</v>
      </c>
    </row>
    <row r="78" spans="1:12" x14ac:dyDescent="0.3">
      <c r="A78" s="34" t="s">
        <v>775</v>
      </c>
      <c r="B78" s="34" t="s">
        <v>447</v>
      </c>
      <c r="C78" s="34">
        <v>8</v>
      </c>
      <c r="D78" s="34">
        <v>6754</v>
      </c>
      <c r="E78" s="15" t="s">
        <v>776</v>
      </c>
      <c r="F78" s="34" t="s">
        <v>777</v>
      </c>
      <c r="G78" s="34" t="s">
        <v>778</v>
      </c>
      <c r="H78" s="34" t="s">
        <v>565</v>
      </c>
      <c r="I78" s="34" t="s">
        <v>384</v>
      </c>
      <c r="J78" s="34" t="s">
        <v>444</v>
      </c>
      <c r="K78" s="34" t="s">
        <v>445</v>
      </c>
      <c r="L78" s="34">
        <v>54032</v>
      </c>
    </row>
    <row r="79" spans="1:12" x14ac:dyDescent="0.3">
      <c r="A79" s="34" t="s">
        <v>779</v>
      </c>
      <c r="B79" s="34" t="s">
        <v>439</v>
      </c>
      <c r="C79" s="34">
        <v>3</v>
      </c>
      <c r="D79" s="34">
        <v>13385</v>
      </c>
      <c r="E79" s="15" t="s">
        <v>562</v>
      </c>
      <c r="F79" s="34" t="s">
        <v>780</v>
      </c>
      <c r="G79" s="34" t="s">
        <v>781</v>
      </c>
      <c r="H79" s="34" t="s">
        <v>476</v>
      </c>
      <c r="I79" s="34" t="s">
        <v>384</v>
      </c>
      <c r="J79" s="34" t="s">
        <v>470</v>
      </c>
      <c r="K79" s="34" t="s">
        <v>533</v>
      </c>
      <c r="L79" s="34">
        <v>40155</v>
      </c>
    </row>
    <row r="80" spans="1:12" x14ac:dyDescent="0.3">
      <c r="A80" s="34" t="s">
        <v>782</v>
      </c>
      <c r="B80" s="34" t="s">
        <v>447</v>
      </c>
      <c r="C80" s="34">
        <v>4</v>
      </c>
      <c r="D80" s="34">
        <v>12587</v>
      </c>
      <c r="E80" s="15" t="s">
        <v>783</v>
      </c>
      <c r="F80" s="34" t="s">
        <v>784</v>
      </c>
      <c r="G80" s="34" t="s">
        <v>785</v>
      </c>
      <c r="H80" s="34" t="s">
        <v>565</v>
      </c>
      <c r="I80" s="34" t="s">
        <v>384</v>
      </c>
      <c r="J80" s="34" t="s">
        <v>457</v>
      </c>
      <c r="K80" s="34" t="s">
        <v>471</v>
      </c>
      <c r="L80" s="34">
        <v>50348</v>
      </c>
    </row>
    <row r="81" spans="1:12" x14ac:dyDescent="0.3">
      <c r="A81" s="34" t="s">
        <v>786</v>
      </c>
      <c r="B81" s="34" t="s">
        <v>447</v>
      </c>
      <c r="C81" s="34">
        <v>2</v>
      </c>
      <c r="D81" s="34">
        <v>7612</v>
      </c>
      <c r="E81" s="15" t="s">
        <v>756</v>
      </c>
      <c r="F81" s="34" t="s">
        <v>787</v>
      </c>
      <c r="G81" s="34" t="s">
        <v>788</v>
      </c>
      <c r="H81" s="34" t="s">
        <v>578</v>
      </c>
      <c r="I81" s="34" t="s">
        <v>384</v>
      </c>
      <c r="J81" s="34" t="s">
        <v>444</v>
      </c>
      <c r="K81" s="34" t="s">
        <v>533</v>
      </c>
      <c r="L81" s="34">
        <v>15224</v>
      </c>
    </row>
    <row r="82" spans="1:12" x14ac:dyDescent="0.3">
      <c r="A82" s="34" t="s">
        <v>789</v>
      </c>
      <c r="B82" s="34" t="s">
        <v>510</v>
      </c>
      <c r="C82" s="34">
        <v>6</v>
      </c>
      <c r="D82" s="34">
        <v>10397</v>
      </c>
      <c r="E82" s="15" t="s">
        <v>790</v>
      </c>
      <c r="F82" s="34" t="s">
        <v>791</v>
      </c>
      <c r="G82" s="34" t="s">
        <v>792</v>
      </c>
      <c r="H82" s="34" t="s">
        <v>518</v>
      </c>
      <c r="I82" s="34" t="s">
        <v>384</v>
      </c>
      <c r="J82" s="34" t="s">
        <v>444</v>
      </c>
      <c r="K82" s="34" t="s">
        <v>489</v>
      </c>
      <c r="L82" s="34">
        <v>62382</v>
      </c>
    </row>
    <row r="83" spans="1:12" x14ac:dyDescent="0.3">
      <c r="A83" s="34" t="s">
        <v>793</v>
      </c>
      <c r="B83" s="34" t="s">
        <v>484</v>
      </c>
      <c r="C83" s="34">
        <v>3</v>
      </c>
      <c r="D83" s="34">
        <v>13106</v>
      </c>
      <c r="E83" s="15" t="s">
        <v>794</v>
      </c>
      <c r="F83" s="34" t="s">
        <v>795</v>
      </c>
      <c r="G83" s="34" t="s">
        <v>796</v>
      </c>
      <c r="H83" s="34" t="s">
        <v>504</v>
      </c>
      <c r="I83" s="34" t="s">
        <v>384</v>
      </c>
      <c r="J83" s="34" t="s">
        <v>444</v>
      </c>
      <c r="K83" s="34" t="s">
        <v>178</v>
      </c>
      <c r="L83" s="34">
        <v>39318</v>
      </c>
    </row>
    <row r="84" spans="1:12" x14ac:dyDescent="0.3">
      <c r="A84" s="34" t="s">
        <v>797</v>
      </c>
      <c r="B84" s="34" t="s">
        <v>484</v>
      </c>
      <c r="C84" s="34">
        <v>1</v>
      </c>
      <c r="D84" s="34">
        <v>8957</v>
      </c>
      <c r="E84" s="15" t="s">
        <v>798</v>
      </c>
      <c r="F84" s="34" t="s">
        <v>799</v>
      </c>
      <c r="G84" s="34" t="s">
        <v>800</v>
      </c>
      <c r="H84" s="34" t="s">
        <v>746</v>
      </c>
      <c r="I84" s="34" t="s">
        <v>384</v>
      </c>
      <c r="J84" s="34" t="s">
        <v>470</v>
      </c>
      <c r="K84" s="34" t="s">
        <v>178</v>
      </c>
      <c r="L84" s="34">
        <v>8957</v>
      </c>
    </row>
    <row r="85" spans="1:12" x14ac:dyDescent="0.3">
      <c r="A85" s="34" t="s">
        <v>801</v>
      </c>
      <c r="B85" s="34" t="s">
        <v>465</v>
      </c>
      <c r="C85" s="34">
        <v>2</v>
      </c>
      <c r="D85" s="34">
        <v>5792</v>
      </c>
      <c r="E85" s="15" t="s">
        <v>802</v>
      </c>
      <c r="F85" s="34" t="s">
        <v>803</v>
      </c>
      <c r="G85" s="34" t="s">
        <v>475</v>
      </c>
      <c r="H85" s="34" t="s">
        <v>583</v>
      </c>
      <c r="I85" s="34" t="s">
        <v>384</v>
      </c>
      <c r="J85" s="34" t="s">
        <v>470</v>
      </c>
      <c r="K85" s="34" t="s">
        <v>471</v>
      </c>
      <c r="L85" s="34">
        <v>11584</v>
      </c>
    </row>
    <row r="86" spans="1:12" x14ac:dyDescent="0.3">
      <c r="A86" s="34" t="s">
        <v>804</v>
      </c>
      <c r="B86" s="34" t="s">
        <v>510</v>
      </c>
      <c r="C86" s="34">
        <v>1</v>
      </c>
      <c r="D86" s="34">
        <v>12305</v>
      </c>
      <c r="E86" s="15" t="s">
        <v>805</v>
      </c>
      <c r="F86" s="34" t="s">
        <v>806</v>
      </c>
      <c r="G86" s="34" t="s">
        <v>807</v>
      </c>
      <c r="H86" s="34" t="s">
        <v>710</v>
      </c>
      <c r="I86" s="34" t="s">
        <v>384</v>
      </c>
      <c r="J86" s="34" t="s">
        <v>444</v>
      </c>
      <c r="K86" s="34" t="s">
        <v>533</v>
      </c>
      <c r="L86" s="34">
        <v>12305</v>
      </c>
    </row>
    <row r="87" spans="1:12" x14ac:dyDescent="0.3">
      <c r="A87" s="34" t="s">
        <v>808</v>
      </c>
      <c r="B87" s="34" t="s">
        <v>495</v>
      </c>
      <c r="C87" s="34">
        <v>7</v>
      </c>
      <c r="D87" s="34">
        <v>16608</v>
      </c>
      <c r="E87" s="15" t="s">
        <v>809</v>
      </c>
      <c r="F87" s="34" t="s">
        <v>810</v>
      </c>
      <c r="G87" s="34" t="s">
        <v>811</v>
      </c>
      <c r="H87" s="34" t="s">
        <v>456</v>
      </c>
      <c r="I87" s="34" t="s">
        <v>384</v>
      </c>
      <c r="J87" s="34" t="s">
        <v>457</v>
      </c>
      <c r="K87" s="34" t="s">
        <v>445</v>
      </c>
      <c r="L87" s="34">
        <v>116256</v>
      </c>
    </row>
    <row r="88" spans="1:12" x14ac:dyDescent="0.3">
      <c r="A88" s="34" t="s">
        <v>812</v>
      </c>
      <c r="B88" s="34" t="s">
        <v>506</v>
      </c>
      <c r="C88" s="34">
        <v>1</v>
      </c>
      <c r="D88" s="34">
        <v>8445</v>
      </c>
      <c r="E88" s="15" t="s">
        <v>813</v>
      </c>
      <c r="F88" s="34" t="s">
        <v>814</v>
      </c>
      <c r="G88" s="34" t="s">
        <v>630</v>
      </c>
      <c r="H88" s="34" t="s">
        <v>583</v>
      </c>
      <c r="I88" s="34" t="s">
        <v>384</v>
      </c>
      <c r="J88" s="34" t="s">
        <v>457</v>
      </c>
      <c r="K88" s="34" t="s">
        <v>445</v>
      </c>
      <c r="L88" s="34">
        <v>8445</v>
      </c>
    </row>
    <row r="89" spans="1:12" x14ac:dyDescent="0.3">
      <c r="A89" s="34" t="s">
        <v>815</v>
      </c>
      <c r="B89" s="34" t="s">
        <v>459</v>
      </c>
      <c r="C89" s="34">
        <v>5</v>
      </c>
      <c r="D89" s="34">
        <v>8363</v>
      </c>
      <c r="E89" s="15" t="s">
        <v>816</v>
      </c>
      <c r="F89" s="34" t="s">
        <v>817</v>
      </c>
      <c r="G89" s="34" t="s">
        <v>573</v>
      </c>
      <c r="H89" s="34" t="s">
        <v>618</v>
      </c>
      <c r="I89" s="34" t="s">
        <v>384</v>
      </c>
      <c r="J89" s="34" t="s">
        <v>457</v>
      </c>
      <c r="K89" s="34" t="s">
        <v>445</v>
      </c>
      <c r="L89" s="34">
        <v>41815</v>
      </c>
    </row>
    <row r="90" spans="1:12" x14ac:dyDescent="0.3">
      <c r="A90" s="34" t="s">
        <v>818</v>
      </c>
      <c r="B90" s="34" t="s">
        <v>447</v>
      </c>
      <c r="C90" s="34">
        <v>9</v>
      </c>
      <c r="D90" s="34">
        <v>2165</v>
      </c>
      <c r="E90" s="15" t="s">
        <v>819</v>
      </c>
      <c r="F90" s="34" t="s">
        <v>820</v>
      </c>
      <c r="G90" s="34" t="s">
        <v>617</v>
      </c>
      <c r="H90" s="34" t="s">
        <v>543</v>
      </c>
      <c r="I90" s="34" t="s">
        <v>384</v>
      </c>
      <c r="J90" s="34" t="s">
        <v>457</v>
      </c>
      <c r="K90" s="34" t="s">
        <v>471</v>
      </c>
      <c r="L90" s="34">
        <v>19485</v>
      </c>
    </row>
    <row r="91" spans="1:12" x14ac:dyDescent="0.3">
      <c r="A91" s="34" t="s">
        <v>821</v>
      </c>
      <c r="B91" s="34" t="s">
        <v>439</v>
      </c>
      <c r="C91" s="34">
        <v>5</v>
      </c>
      <c r="D91" s="34">
        <v>18818</v>
      </c>
      <c r="E91" s="15" t="s">
        <v>822</v>
      </c>
      <c r="F91" s="34" t="s">
        <v>823</v>
      </c>
      <c r="G91" s="34" t="s">
        <v>824</v>
      </c>
      <c r="H91" s="34" t="s">
        <v>565</v>
      </c>
      <c r="I91" s="34" t="s">
        <v>384</v>
      </c>
      <c r="J91" s="34" t="s">
        <v>457</v>
      </c>
      <c r="K91" s="34" t="s">
        <v>533</v>
      </c>
      <c r="L91" s="34">
        <v>94090</v>
      </c>
    </row>
    <row r="92" spans="1:12" x14ac:dyDescent="0.3">
      <c r="A92" s="34" t="s">
        <v>825</v>
      </c>
      <c r="B92" s="34" t="s">
        <v>510</v>
      </c>
      <c r="C92" s="34">
        <v>4</v>
      </c>
      <c r="D92" s="34">
        <v>16744</v>
      </c>
      <c r="E92" s="15" t="s">
        <v>776</v>
      </c>
      <c r="F92" s="34" t="s">
        <v>826</v>
      </c>
      <c r="G92" s="34" t="s">
        <v>610</v>
      </c>
      <c r="H92" s="34" t="s">
        <v>618</v>
      </c>
      <c r="I92" s="34" t="s">
        <v>384</v>
      </c>
      <c r="J92" s="34" t="s">
        <v>470</v>
      </c>
      <c r="K92" s="34" t="s">
        <v>178</v>
      </c>
      <c r="L92" s="34">
        <v>66976</v>
      </c>
    </row>
    <row r="93" spans="1:12" x14ac:dyDescent="0.3">
      <c r="A93" s="34" t="s">
        <v>827</v>
      </c>
      <c r="B93" s="34" t="s">
        <v>465</v>
      </c>
      <c r="C93" s="34">
        <v>4</v>
      </c>
      <c r="D93" s="34">
        <v>3968</v>
      </c>
      <c r="E93" s="15" t="s">
        <v>828</v>
      </c>
      <c r="F93" s="34" t="s">
        <v>829</v>
      </c>
      <c r="G93" s="34" t="s">
        <v>830</v>
      </c>
      <c r="H93" s="34" t="s">
        <v>595</v>
      </c>
      <c r="I93" s="34" t="s">
        <v>384</v>
      </c>
      <c r="J93" s="34" t="s">
        <v>470</v>
      </c>
      <c r="K93" s="34" t="s">
        <v>178</v>
      </c>
      <c r="L93" s="34">
        <v>15872</v>
      </c>
    </row>
    <row r="94" spans="1:12" x14ac:dyDescent="0.3">
      <c r="A94" s="34" t="s">
        <v>831</v>
      </c>
      <c r="B94" s="34" t="s">
        <v>484</v>
      </c>
      <c r="C94" s="34">
        <v>9</v>
      </c>
      <c r="D94" s="34">
        <v>3228</v>
      </c>
      <c r="E94" s="15" t="s">
        <v>832</v>
      </c>
      <c r="F94" s="34" t="s">
        <v>833</v>
      </c>
      <c r="G94" s="34" t="s">
        <v>834</v>
      </c>
      <c r="H94" s="34" t="s">
        <v>488</v>
      </c>
      <c r="I94" s="34" t="s">
        <v>384</v>
      </c>
      <c r="J94" s="34" t="s">
        <v>444</v>
      </c>
      <c r="K94" s="34" t="s">
        <v>178</v>
      </c>
      <c r="L94" s="34">
        <v>29052</v>
      </c>
    </row>
    <row r="95" spans="1:12" x14ac:dyDescent="0.3">
      <c r="A95" s="34" t="s">
        <v>835</v>
      </c>
      <c r="B95" s="34" t="s">
        <v>510</v>
      </c>
      <c r="C95" s="34">
        <v>9</v>
      </c>
      <c r="D95" s="34">
        <v>11220</v>
      </c>
      <c r="E95" s="15" t="s">
        <v>836</v>
      </c>
      <c r="F95" s="34" t="s">
        <v>837</v>
      </c>
      <c r="G95" s="34" t="s">
        <v>838</v>
      </c>
      <c r="H95" s="34" t="s">
        <v>463</v>
      </c>
      <c r="I95" s="34" t="s">
        <v>384</v>
      </c>
      <c r="J95" s="34" t="s">
        <v>457</v>
      </c>
      <c r="K95" s="34" t="s">
        <v>445</v>
      </c>
      <c r="L95" s="34">
        <v>100980</v>
      </c>
    </row>
    <row r="96" spans="1:12" x14ac:dyDescent="0.3">
      <c r="A96" s="34" t="s">
        <v>839</v>
      </c>
      <c r="B96" s="34" t="s">
        <v>510</v>
      </c>
      <c r="C96" s="34">
        <v>8</v>
      </c>
      <c r="D96" s="34">
        <v>3198</v>
      </c>
      <c r="E96" s="15" t="s">
        <v>840</v>
      </c>
      <c r="F96" s="34" t="s">
        <v>841</v>
      </c>
      <c r="G96" s="34" t="s">
        <v>781</v>
      </c>
      <c r="H96" s="34" t="s">
        <v>482</v>
      </c>
      <c r="I96" s="34" t="s">
        <v>384</v>
      </c>
      <c r="J96" s="34" t="s">
        <v>470</v>
      </c>
      <c r="K96" s="34" t="s">
        <v>471</v>
      </c>
      <c r="L96" s="34">
        <v>25584</v>
      </c>
    </row>
    <row r="97" spans="1:12" x14ac:dyDescent="0.3">
      <c r="A97" s="34" t="s">
        <v>842</v>
      </c>
      <c r="B97" s="34" t="s">
        <v>510</v>
      </c>
      <c r="C97" s="34">
        <v>1</v>
      </c>
      <c r="D97" s="34">
        <v>13505</v>
      </c>
      <c r="E97" s="15" t="s">
        <v>843</v>
      </c>
      <c r="F97" s="34" t="s">
        <v>844</v>
      </c>
      <c r="G97" s="34" t="s">
        <v>785</v>
      </c>
      <c r="H97" s="34" t="s">
        <v>583</v>
      </c>
      <c r="I97" s="34" t="s">
        <v>384</v>
      </c>
      <c r="J97" s="34" t="s">
        <v>457</v>
      </c>
      <c r="K97" s="34" t="s">
        <v>178</v>
      </c>
      <c r="L97" s="34">
        <v>13505</v>
      </c>
    </row>
    <row r="98" spans="1:12" x14ac:dyDescent="0.3">
      <c r="A98" s="34" t="s">
        <v>845</v>
      </c>
      <c r="B98" s="34" t="s">
        <v>439</v>
      </c>
      <c r="C98" s="34">
        <v>4</v>
      </c>
      <c r="D98" s="34">
        <v>16730</v>
      </c>
      <c r="E98" s="15" t="s">
        <v>846</v>
      </c>
      <c r="F98" s="34" t="s">
        <v>847</v>
      </c>
      <c r="G98" s="34" t="s">
        <v>848</v>
      </c>
      <c r="H98" s="34" t="s">
        <v>694</v>
      </c>
      <c r="I98" s="34" t="s">
        <v>384</v>
      </c>
      <c r="J98" s="34" t="s">
        <v>470</v>
      </c>
      <c r="K98" s="34" t="s">
        <v>471</v>
      </c>
      <c r="L98" s="34">
        <v>66920</v>
      </c>
    </row>
    <row r="99" spans="1:12" x14ac:dyDescent="0.3">
      <c r="A99" s="34" t="s">
        <v>849</v>
      </c>
      <c r="B99" s="34" t="s">
        <v>524</v>
      </c>
      <c r="C99" s="34">
        <v>9</v>
      </c>
      <c r="D99" s="34">
        <v>9579</v>
      </c>
      <c r="E99" s="15" t="s">
        <v>850</v>
      </c>
      <c r="F99" s="34" t="s">
        <v>851</v>
      </c>
      <c r="G99" s="34" t="s">
        <v>673</v>
      </c>
      <c r="H99" s="34" t="s">
        <v>543</v>
      </c>
      <c r="I99" s="34" t="s">
        <v>384</v>
      </c>
      <c r="J99" s="34" t="s">
        <v>444</v>
      </c>
      <c r="K99" s="34" t="s">
        <v>471</v>
      </c>
      <c r="L99" s="34">
        <v>86211</v>
      </c>
    </row>
    <row r="100" spans="1:12" x14ac:dyDescent="0.3">
      <c r="A100" s="34" t="s">
        <v>852</v>
      </c>
      <c r="B100" s="34" t="s">
        <v>439</v>
      </c>
      <c r="C100" s="34">
        <v>8</v>
      </c>
      <c r="D100" s="34">
        <v>5406</v>
      </c>
      <c r="E100" s="15" t="s">
        <v>853</v>
      </c>
      <c r="F100" s="34" t="s">
        <v>854</v>
      </c>
      <c r="G100" s="34" t="s">
        <v>855</v>
      </c>
      <c r="H100" s="34" t="s">
        <v>514</v>
      </c>
      <c r="I100" s="34" t="s">
        <v>384</v>
      </c>
      <c r="J100" s="34" t="s">
        <v>457</v>
      </c>
      <c r="K100" s="34" t="s">
        <v>471</v>
      </c>
      <c r="L100" s="34">
        <v>43248</v>
      </c>
    </row>
    <row r="101" spans="1:12" x14ac:dyDescent="0.3">
      <c r="A101" s="34" t="s">
        <v>856</v>
      </c>
      <c r="B101" s="34" t="s">
        <v>524</v>
      </c>
      <c r="C101" s="34">
        <v>8</v>
      </c>
      <c r="D101" s="34">
        <v>6966</v>
      </c>
      <c r="E101" s="15" t="s">
        <v>857</v>
      </c>
      <c r="F101" s="34" t="s">
        <v>858</v>
      </c>
      <c r="G101" s="34" t="s">
        <v>729</v>
      </c>
      <c r="H101" s="34" t="s">
        <v>488</v>
      </c>
      <c r="I101" s="34" t="s">
        <v>384</v>
      </c>
      <c r="J101" s="34" t="s">
        <v>444</v>
      </c>
      <c r="K101" s="34" t="s">
        <v>178</v>
      </c>
      <c r="L101" s="34">
        <v>55728</v>
      </c>
    </row>
    <row r="102" spans="1:12" x14ac:dyDescent="0.3">
      <c r="A102" s="34" t="s">
        <v>859</v>
      </c>
      <c r="B102" s="34" t="s">
        <v>524</v>
      </c>
      <c r="C102" s="34">
        <v>2</v>
      </c>
      <c r="D102" s="34">
        <v>7517</v>
      </c>
      <c r="E102" s="15" t="s">
        <v>860</v>
      </c>
      <c r="F102" s="34" t="s">
        <v>861</v>
      </c>
      <c r="G102" s="34" t="s">
        <v>862</v>
      </c>
      <c r="H102" s="34" t="s">
        <v>746</v>
      </c>
      <c r="I102" s="34" t="s">
        <v>384</v>
      </c>
      <c r="J102" s="34" t="s">
        <v>444</v>
      </c>
      <c r="K102" s="34" t="s">
        <v>489</v>
      </c>
      <c r="L102" s="34">
        <v>15034</v>
      </c>
    </row>
    <row r="103" spans="1:12" x14ac:dyDescent="0.3">
      <c r="A103" s="34" t="s">
        <v>863</v>
      </c>
      <c r="B103" s="34" t="s">
        <v>495</v>
      </c>
      <c r="C103" s="34">
        <v>9</v>
      </c>
      <c r="D103" s="34">
        <v>9197</v>
      </c>
      <c r="E103" s="15" t="s">
        <v>712</v>
      </c>
      <c r="F103" s="34" t="s">
        <v>864</v>
      </c>
      <c r="G103" s="34" t="s">
        <v>865</v>
      </c>
      <c r="H103" s="34" t="s">
        <v>488</v>
      </c>
      <c r="I103" s="34" t="s">
        <v>384</v>
      </c>
      <c r="J103" s="34" t="s">
        <v>444</v>
      </c>
      <c r="K103" s="34" t="s">
        <v>533</v>
      </c>
      <c r="L103" s="34">
        <v>82773</v>
      </c>
    </row>
    <row r="104" spans="1:12" x14ac:dyDescent="0.3">
      <c r="A104" s="34" t="s">
        <v>866</v>
      </c>
      <c r="B104" s="34" t="s">
        <v>495</v>
      </c>
      <c r="C104" s="34">
        <v>5</v>
      </c>
      <c r="D104" s="34">
        <v>11166</v>
      </c>
      <c r="E104" s="15" t="s">
        <v>867</v>
      </c>
      <c r="F104" s="34" t="s">
        <v>868</v>
      </c>
      <c r="G104" s="34" t="s">
        <v>659</v>
      </c>
      <c r="H104" s="34" t="s">
        <v>639</v>
      </c>
      <c r="I104" s="34" t="s">
        <v>384</v>
      </c>
      <c r="J104" s="34" t="s">
        <v>457</v>
      </c>
      <c r="K104" s="34" t="s">
        <v>489</v>
      </c>
      <c r="L104" s="34">
        <v>55830</v>
      </c>
    </row>
    <row r="105" spans="1:12" x14ac:dyDescent="0.3">
      <c r="A105" s="34" t="s">
        <v>869</v>
      </c>
      <c r="B105" s="34" t="s">
        <v>484</v>
      </c>
      <c r="C105" s="34">
        <v>8</v>
      </c>
      <c r="D105" s="34">
        <v>19611</v>
      </c>
      <c r="E105" s="15" t="s">
        <v>870</v>
      </c>
      <c r="F105" s="34" t="s">
        <v>871</v>
      </c>
      <c r="G105" s="34" t="s">
        <v>564</v>
      </c>
      <c r="H105" s="34" t="s">
        <v>565</v>
      </c>
      <c r="I105" s="34" t="s">
        <v>384</v>
      </c>
      <c r="J105" s="34" t="s">
        <v>444</v>
      </c>
      <c r="K105" s="34" t="s">
        <v>471</v>
      </c>
      <c r="L105" s="34">
        <v>156888</v>
      </c>
    </row>
    <row r="106" spans="1:12" x14ac:dyDescent="0.3">
      <c r="A106" s="34" t="s">
        <v>872</v>
      </c>
      <c r="B106" s="34" t="s">
        <v>459</v>
      </c>
      <c r="C106" s="34">
        <v>1</v>
      </c>
      <c r="D106" s="34">
        <v>14767</v>
      </c>
      <c r="E106" s="15" t="s">
        <v>873</v>
      </c>
      <c r="F106" s="34" t="s">
        <v>874</v>
      </c>
      <c r="G106" s="34" t="s">
        <v>875</v>
      </c>
      <c r="H106" s="34" t="s">
        <v>682</v>
      </c>
      <c r="I106" s="34" t="s">
        <v>384</v>
      </c>
      <c r="J106" s="34" t="s">
        <v>457</v>
      </c>
      <c r="K106" s="34" t="s">
        <v>471</v>
      </c>
      <c r="L106" s="34">
        <v>14767</v>
      </c>
    </row>
    <row r="107" spans="1:12" x14ac:dyDescent="0.3">
      <c r="A107" s="34" t="s">
        <v>876</v>
      </c>
      <c r="B107" s="34" t="s">
        <v>524</v>
      </c>
      <c r="C107" s="34">
        <v>5</v>
      </c>
      <c r="D107" s="34">
        <v>9278</v>
      </c>
      <c r="E107" s="15" t="s">
        <v>877</v>
      </c>
      <c r="F107" s="34" t="s">
        <v>878</v>
      </c>
      <c r="G107" s="34" t="s">
        <v>455</v>
      </c>
      <c r="H107" s="34" t="s">
        <v>651</v>
      </c>
      <c r="I107" s="34" t="s">
        <v>384</v>
      </c>
      <c r="J107" s="34" t="s">
        <v>444</v>
      </c>
      <c r="K107" s="34" t="s">
        <v>489</v>
      </c>
      <c r="L107" s="34">
        <v>46390</v>
      </c>
    </row>
    <row r="108" spans="1:12" x14ac:dyDescent="0.3">
      <c r="A108" s="34" t="s">
        <v>879</v>
      </c>
      <c r="B108" s="34" t="s">
        <v>439</v>
      </c>
      <c r="C108" s="34">
        <v>1</v>
      </c>
      <c r="D108" s="34">
        <v>3492</v>
      </c>
      <c r="E108" s="15" t="s">
        <v>880</v>
      </c>
      <c r="F108" s="34" t="s">
        <v>881</v>
      </c>
      <c r="G108" s="34" t="s">
        <v>630</v>
      </c>
      <c r="H108" s="34" t="s">
        <v>463</v>
      </c>
      <c r="I108" s="34" t="s">
        <v>384</v>
      </c>
      <c r="J108" s="34" t="s">
        <v>457</v>
      </c>
      <c r="K108" s="34" t="s">
        <v>489</v>
      </c>
      <c r="L108" s="34">
        <v>3492</v>
      </c>
    </row>
    <row r="109" spans="1:12" x14ac:dyDescent="0.3">
      <c r="A109" s="34" t="s">
        <v>882</v>
      </c>
      <c r="B109" s="34" t="s">
        <v>447</v>
      </c>
      <c r="C109" s="34">
        <v>7</v>
      </c>
      <c r="D109" s="34">
        <v>5767</v>
      </c>
      <c r="E109" s="15" t="s">
        <v>883</v>
      </c>
      <c r="F109" s="34" t="s">
        <v>884</v>
      </c>
      <c r="G109" s="34" t="s">
        <v>885</v>
      </c>
      <c r="H109" s="34" t="s">
        <v>618</v>
      </c>
      <c r="I109" s="34" t="s">
        <v>384</v>
      </c>
      <c r="J109" s="34" t="s">
        <v>444</v>
      </c>
      <c r="K109" s="34" t="s">
        <v>471</v>
      </c>
      <c r="L109" s="34">
        <v>40369</v>
      </c>
    </row>
    <row r="110" spans="1:12" x14ac:dyDescent="0.3">
      <c r="A110" s="34" t="s">
        <v>886</v>
      </c>
      <c r="B110" s="34" t="s">
        <v>524</v>
      </c>
      <c r="C110" s="34">
        <v>5</v>
      </c>
      <c r="D110" s="34">
        <v>17101</v>
      </c>
      <c r="E110" s="15" t="s">
        <v>615</v>
      </c>
      <c r="F110" s="34" t="s">
        <v>887</v>
      </c>
      <c r="G110" s="34" t="s">
        <v>659</v>
      </c>
      <c r="H110" s="34" t="s">
        <v>639</v>
      </c>
      <c r="I110" s="34" t="s">
        <v>384</v>
      </c>
      <c r="J110" s="34" t="s">
        <v>470</v>
      </c>
      <c r="K110" s="34" t="s">
        <v>445</v>
      </c>
      <c r="L110" s="34">
        <v>85505</v>
      </c>
    </row>
    <row r="111" spans="1:12" x14ac:dyDescent="0.3">
      <c r="A111" s="34" t="s">
        <v>888</v>
      </c>
      <c r="B111" s="34" t="s">
        <v>484</v>
      </c>
      <c r="C111" s="34">
        <v>3</v>
      </c>
      <c r="D111" s="34">
        <v>19538</v>
      </c>
      <c r="E111" s="15" t="s">
        <v>601</v>
      </c>
      <c r="F111" s="34" t="s">
        <v>889</v>
      </c>
      <c r="G111" s="34" t="s">
        <v>774</v>
      </c>
      <c r="H111" s="34" t="s">
        <v>543</v>
      </c>
      <c r="I111" s="34" t="s">
        <v>384</v>
      </c>
      <c r="J111" s="34" t="s">
        <v>470</v>
      </c>
      <c r="K111" s="34" t="s">
        <v>178</v>
      </c>
      <c r="L111" s="34">
        <v>58614</v>
      </c>
    </row>
    <row r="112" spans="1:12" x14ac:dyDescent="0.3">
      <c r="A112" s="34" t="s">
        <v>890</v>
      </c>
      <c r="B112" s="34" t="s">
        <v>447</v>
      </c>
      <c r="C112" s="34">
        <v>5</v>
      </c>
      <c r="D112" s="34">
        <v>2184</v>
      </c>
      <c r="E112" s="15" t="s">
        <v>828</v>
      </c>
      <c r="F112" s="34" t="s">
        <v>891</v>
      </c>
      <c r="G112" s="34" t="s">
        <v>892</v>
      </c>
      <c r="H112" s="34" t="s">
        <v>618</v>
      </c>
      <c r="I112" s="34" t="s">
        <v>384</v>
      </c>
      <c r="J112" s="34" t="s">
        <v>457</v>
      </c>
      <c r="K112" s="34" t="s">
        <v>533</v>
      </c>
      <c r="L112" s="34">
        <v>10920</v>
      </c>
    </row>
    <row r="113" spans="1:12" x14ac:dyDescent="0.3">
      <c r="A113" s="34" t="s">
        <v>893</v>
      </c>
      <c r="B113" s="34" t="s">
        <v>439</v>
      </c>
      <c r="C113" s="34">
        <v>7</v>
      </c>
      <c r="D113" s="34">
        <v>9278</v>
      </c>
      <c r="E113" s="15" t="s">
        <v>894</v>
      </c>
      <c r="F113" s="34" t="s">
        <v>895</v>
      </c>
      <c r="G113" s="34" t="s">
        <v>848</v>
      </c>
      <c r="H113" s="34" t="s">
        <v>560</v>
      </c>
      <c r="I113" s="34" t="s">
        <v>384</v>
      </c>
      <c r="J113" s="34" t="s">
        <v>470</v>
      </c>
      <c r="K113" s="34" t="s">
        <v>533</v>
      </c>
      <c r="L113" s="34">
        <v>64946</v>
      </c>
    </row>
    <row r="114" spans="1:12" x14ac:dyDescent="0.3">
      <c r="A114" s="34" t="s">
        <v>896</v>
      </c>
      <c r="B114" s="34" t="s">
        <v>447</v>
      </c>
      <c r="C114" s="34">
        <v>4</v>
      </c>
      <c r="D114" s="34">
        <v>13974</v>
      </c>
      <c r="E114" s="15" t="s">
        <v>671</v>
      </c>
      <c r="F114" s="34" t="s">
        <v>897</v>
      </c>
      <c r="G114" s="34" t="s">
        <v>898</v>
      </c>
      <c r="H114" s="34" t="s">
        <v>694</v>
      </c>
      <c r="I114" s="34" t="s">
        <v>384</v>
      </c>
      <c r="J114" s="34" t="s">
        <v>444</v>
      </c>
      <c r="K114" s="34" t="s">
        <v>471</v>
      </c>
      <c r="L114" s="34">
        <v>55896</v>
      </c>
    </row>
    <row r="115" spans="1:12" x14ac:dyDescent="0.3">
      <c r="A115" s="34" t="s">
        <v>899</v>
      </c>
      <c r="B115" s="34" t="s">
        <v>447</v>
      </c>
      <c r="C115" s="34">
        <v>4</v>
      </c>
      <c r="D115" s="34">
        <v>7074</v>
      </c>
      <c r="E115" s="15" t="s">
        <v>900</v>
      </c>
      <c r="F115" s="34" t="s">
        <v>901</v>
      </c>
      <c r="G115" s="34" t="s">
        <v>902</v>
      </c>
      <c r="H115" s="34" t="s">
        <v>469</v>
      </c>
      <c r="I115" s="34" t="s">
        <v>384</v>
      </c>
      <c r="J115" s="34" t="s">
        <v>444</v>
      </c>
      <c r="K115" s="34" t="s">
        <v>533</v>
      </c>
      <c r="L115" s="34">
        <v>28296</v>
      </c>
    </row>
    <row r="116" spans="1:12" x14ac:dyDescent="0.3">
      <c r="A116" s="34" t="s">
        <v>903</v>
      </c>
      <c r="B116" s="34" t="s">
        <v>459</v>
      </c>
      <c r="C116" s="34">
        <v>8</v>
      </c>
      <c r="D116" s="34">
        <v>12430</v>
      </c>
      <c r="E116" s="15" t="s">
        <v>904</v>
      </c>
      <c r="F116" s="34" t="s">
        <v>905</v>
      </c>
      <c r="G116" s="34" t="s">
        <v>906</v>
      </c>
      <c r="H116" s="34" t="s">
        <v>746</v>
      </c>
      <c r="I116" s="34" t="s">
        <v>384</v>
      </c>
      <c r="J116" s="34" t="s">
        <v>457</v>
      </c>
      <c r="K116" s="34" t="s">
        <v>489</v>
      </c>
      <c r="L116" s="34">
        <v>99440</v>
      </c>
    </row>
    <row r="117" spans="1:12" x14ac:dyDescent="0.3">
      <c r="A117" s="34" t="s">
        <v>907</v>
      </c>
      <c r="B117" s="34" t="s">
        <v>447</v>
      </c>
      <c r="C117" s="34">
        <v>9</v>
      </c>
      <c r="D117" s="34">
        <v>9726</v>
      </c>
      <c r="E117" s="15" t="s">
        <v>908</v>
      </c>
      <c r="F117" s="34" t="s">
        <v>909</v>
      </c>
      <c r="G117" s="34" t="s">
        <v>910</v>
      </c>
      <c r="H117" s="34" t="s">
        <v>618</v>
      </c>
      <c r="I117" s="34" t="s">
        <v>384</v>
      </c>
      <c r="J117" s="34" t="s">
        <v>470</v>
      </c>
      <c r="K117" s="34" t="s">
        <v>489</v>
      </c>
      <c r="L117" s="34">
        <v>87534</v>
      </c>
    </row>
    <row r="118" spans="1:12" x14ac:dyDescent="0.3">
      <c r="A118" s="34" t="s">
        <v>911</v>
      </c>
      <c r="B118" s="34" t="s">
        <v>478</v>
      </c>
      <c r="C118" s="34">
        <v>6</v>
      </c>
      <c r="D118" s="34">
        <v>15051</v>
      </c>
      <c r="E118" s="15" t="s">
        <v>772</v>
      </c>
      <c r="F118" s="34" t="s">
        <v>912</v>
      </c>
      <c r="G118" s="34" t="s">
        <v>508</v>
      </c>
      <c r="H118" s="34" t="s">
        <v>528</v>
      </c>
      <c r="I118" s="34" t="s">
        <v>384</v>
      </c>
      <c r="J118" s="34" t="s">
        <v>444</v>
      </c>
      <c r="K118" s="34" t="s">
        <v>178</v>
      </c>
      <c r="L118" s="34">
        <v>90306</v>
      </c>
    </row>
    <row r="119" spans="1:12" x14ac:dyDescent="0.3">
      <c r="A119" s="34" t="s">
        <v>913</v>
      </c>
      <c r="B119" s="34" t="s">
        <v>459</v>
      </c>
      <c r="C119" s="34">
        <v>1</v>
      </c>
      <c r="D119" s="34">
        <v>7209</v>
      </c>
      <c r="E119" s="15" t="s">
        <v>819</v>
      </c>
      <c r="F119" s="34" t="s">
        <v>914</v>
      </c>
      <c r="G119" s="34" t="s">
        <v>606</v>
      </c>
      <c r="H119" s="34" t="s">
        <v>583</v>
      </c>
      <c r="I119" s="34" t="s">
        <v>384</v>
      </c>
      <c r="J119" s="34" t="s">
        <v>444</v>
      </c>
      <c r="K119" s="34" t="s">
        <v>445</v>
      </c>
      <c r="L119" s="34">
        <v>7209</v>
      </c>
    </row>
    <row r="120" spans="1:12" x14ac:dyDescent="0.3">
      <c r="A120" s="34" t="s">
        <v>915</v>
      </c>
      <c r="B120" s="34" t="s">
        <v>439</v>
      </c>
      <c r="C120" s="34">
        <v>9</v>
      </c>
      <c r="D120" s="34">
        <v>8462</v>
      </c>
      <c r="E120" s="15" t="s">
        <v>916</v>
      </c>
      <c r="F120" s="34" t="s">
        <v>917</v>
      </c>
      <c r="G120" s="34" t="s">
        <v>918</v>
      </c>
      <c r="H120" s="34" t="s">
        <v>618</v>
      </c>
      <c r="I120" s="34" t="s">
        <v>384</v>
      </c>
      <c r="J120" s="34" t="s">
        <v>444</v>
      </c>
      <c r="K120" s="34" t="s">
        <v>178</v>
      </c>
      <c r="L120" s="34">
        <v>76158</v>
      </c>
    </row>
    <row r="121" spans="1:12" x14ac:dyDescent="0.3">
      <c r="A121" s="34" t="s">
        <v>919</v>
      </c>
      <c r="B121" s="34" t="s">
        <v>465</v>
      </c>
      <c r="C121" s="34">
        <v>6</v>
      </c>
      <c r="D121" s="34">
        <v>18677</v>
      </c>
      <c r="E121" s="15" t="s">
        <v>798</v>
      </c>
      <c r="F121" s="34" t="s">
        <v>920</v>
      </c>
      <c r="G121" s="34" t="s">
        <v>921</v>
      </c>
      <c r="H121" s="34" t="s">
        <v>565</v>
      </c>
      <c r="I121" s="34" t="s">
        <v>384</v>
      </c>
      <c r="J121" s="34" t="s">
        <v>470</v>
      </c>
      <c r="K121" s="34" t="s">
        <v>445</v>
      </c>
      <c r="L121" s="34">
        <v>112062</v>
      </c>
    </row>
    <row r="122" spans="1:12" x14ac:dyDescent="0.3">
      <c r="A122" s="34" t="s">
        <v>922</v>
      </c>
      <c r="B122" s="34" t="s">
        <v>510</v>
      </c>
      <c r="C122" s="34">
        <v>5</v>
      </c>
      <c r="D122" s="34">
        <v>16495</v>
      </c>
      <c r="E122" s="15" t="s">
        <v>580</v>
      </c>
      <c r="F122" s="34" t="s">
        <v>923</v>
      </c>
      <c r="G122" s="34" t="s">
        <v>924</v>
      </c>
      <c r="H122" s="34" t="s">
        <v>560</v>
      </c>
      <c r="I122" s="34" t="s">
        <v>384</v>
      </c>
      <c r="J122" s="34" t="s">
        <v>444</v>
      </c>
      <c r="K122" s="34" t="s">
        <v>489</v>
      </c>
      <c r="L122" s="34">
        <v>82475</v>
      </c>
    </row>
    <row r="123" spans="1:12" x14ac:dyDescent="0.3">
      <c r="A123" s="34" t="s">
        <v>925</v>
      </c>
      <c r="B123" s="34" t="s">
        <v>465</v>
      </c>
      <c r="C123" s="34">
        <v>8</v>
      </c>
      <c r="D123" s="34">
        <v>6983</v>
      </c>
      <c r="E123" s="15" t="s">
        <v>926</v>
      </c>
      <c r="F123" s="34" t="s">
        <v>927</v>
      </c>
      <c r="G123" s="34" t="s">
        <v>690</v>
      </c>
      <c r="H123" s="34" t="s">
        <v>583</v>
      </c>
      <c r="I123" s="34" t="s">
        <v>384</v>
      </c>
      <c r="J123" s="34" t="s">
        <v>470</v>
      </c>
      <c r="K123" s="34" t="s">
        <v>471</v>
      </c>
      <c r="L123" s="34">
        <v>55864</v>
      </c>
    </row>
    <row r="124" spans="1:12" x14ac:dyDescent="0.3">
      <c r="A124" s="34" t="s">
        <v>928</v>
      </c>
      <c r="B124" s="34" t="s">
        <v>478</v>
      </c>
      <c r="C124" s="34">
        <v>5</v>
      </c>
      <c r="D124" s="34">
        <v>10092</v>
      </c>
      <c r="E124" s="15" t="s">
        <v>929</v>
      </c>
      <c r="F124" s="34" t="s">
        <v>930</v>
      </c>
      <c r="G124" s="34" t="s">
        <v>647</v>
      </c>
      <c r="H124" s="34" t="s">
        <v>543</v>
      </c>
      <c r="I124" s="34" t="s">
        <v>384</v>
      </c>
      <c r="J124" s="34" t="s">
        <v>470</v>
      </c>
      <c r="K124" s="34" t="s">
        <v>445</v>
      </c>
      <c r="L124" s="34">
        <v>50460</v>
      </c>
    </row>
    <row r="125" spans="1:12" x14ac:dyDescent="0.3">
      <c r="A125" s="34" t="s">
        <v>931</v>
      </c>
      <c r="B125" s="34" t="s">
        <v>524</v>
      </c>
      <c r="C125" s="34">
        <v>2</v>
      </c>
      <c r="D125" s="34">
        <v>11576</v>
      </c>
      <c r="E125" s="15" t="s">
        <v>932</v>
      </c>
      <c r="F125" s="34" t="s">
        <v>933</v>
      </c>
      <c r="G125" s="34" t="s">
        <v>934</v>
      </c>
      <c r="H125" s="34" t="s">
        <v>682</v>
      </c>
      <c r="I125" s="34" t="s">
        <v>384</v>
      </c>
      <c r="J125" s="34" t="s">
        <v>444</v>
      </c>
      <c r="K125" s="34" t="s">
        <v>471</v>
      </c>
      <c r="L125" s="34">
        <v>23152</v>
      </c>
    </row>
    <row r="126" spans="1:12" x14ac:dyDescent="0.3">
      <c r="A126" s="34" t="s">
        <v>935</v>
      </c>
      <c r="B126" s="34" t="s">
        <v>510</v>
      </c>
      <c r="C126" s="34">
        <v>4</v>
      </c>
      <c r="D126" s="34">
        <v>14271</v>
      </c>
      <c r="E126" s="15" t="s">
        <v>936</v>
      </c>
      <c r="F126" s="34" t="s">
        <v>937</v>
      </c>
      <c r="G126" s="34" t="s">
        <v>938</v>
      </c>
      <c r="H126" s="34" t="s">
        <v>560</v>
      </c>
      <c r="I126" s="34" t="s">
        <v>384</v>
      </c>
      <c r="J126" s="34" t="s">
        <v>444</v>
      </c>
      <c r="K126" s="34" t="s">
        <v>445</v>
      </c>
      <c r="L126" s="34">
        <v>57084</v>
      </c>
    </row>
    <row r="127" spans="1:12" x14ac:dyDescent="0.3">
      <c r="A127" s="34" t="s">
        <v>939</v>
      </c>
      <c r="B127" s="34" t="s">
        <v>495</v>
      </c>
      <c r="C127" s="34">
        <v>4</v>
      </c>
      <c r="D127" s="34">
        <v>5869</v>
      </c>
      <c r="E127" s="15" t="s">
        <v>940</v>
      </c>
      <c r="F127" s="34" t="s">
        <v>941</v>
      </c>
      <c r="G127" s="34" t="s">
        <v>617</v>
      </c>
      <c r="H127" s="34" t="s">
        <v>639</v>
      </c>
      <c r="I127" s="34" t="s">
        <v>384</v>
      </c>
      <c r="J127" s="34" t="s">
        <v>444</v>
      </c>
      <c r="K127" s="34" t="s">
        <v>489</v>
      </c>
      <c r="L127" s="34">
        <v>23476</v>
      </c>
    </row>
    <row r="128" spans="1:12" x14ac:dyDescent="0.3">
      <c r="A128" s="34" t="s">
        <v>942</v>
      </c>
      <c r="B128" s="34" t="s">
        <v>459</v>
      </c>
      <c r="C128" s="34">
        <v>3</v>
      </c>
      <c r="D128" s="34">
        <v>5796</v>
      </c>
      <c r="E128" s="15" t="s">
        <v>943</v>
      </c>
      <c r="F128" s="34" t="s">
        <v>944</v>
      </c>
      <c r="G128" s="34" t="s">
        <v>945</v>
      </c>
      <c r="H128" s="34" t="s">
        <v>499</v>
      </c>
      <c r="I128" s="34" t="s">
        <v>384</v>
      </c>
      <c r="J128" s="34" t="s">
        <v>457</v>
      </c>
      <c r="K128" s="34" t="s">
        <v>178</v>
      </c>
      <c r="L128" s="34">
        <v>17388</v>
      </c>
    </row>
    <row r="129" spans="1:12" x14ac:dyDescent="0.3">
      <c r="A129" s="34" t="s">
        <v>946</v>
      </c>
      <c r="B129" s="34" t="s">
        <v>439</v>
      </c>
      <c r="C129" s="34">
        <v>6</v>
      </c>
      <c r="D129" s="34">
        <v>7393</v>
      </c>
      <c r="E129" s="15" t="s">
        <v>947</v>
      </c>
      <c r="F129" s="34" t="s">
        <v>948</v>
      </c>
      <c r="G129" s="34" t="s">
        <v>949</v>
      </c>
      <c r="H129" s="34" t="s">
        <v>710</v>
      </c>
      <c r="I129" s="34" t="s">
        <v>384</v>
      </c>
      <c r="J129" s="34" t="s">
        <v>457</v>
      </c>
      <c r="K129" s="34" t="s">
        <v>533</v>
      </c>
      <c r="L129" s="34">
        <v>44358</v>
      </c>
    </row>
    <row r="130" spans="1:12" x14ac:dyDescent="0.3">
      <c r="A130" s="34" t="s">
        <v>950</v>
      </c>
      <c r="B130" s="34" t="s">
        <v>439</v>
      </c>
      <c r="C130" s="34">
        <v>3</v>
      </c>
      <c r="D130" s="34">
        <v>13943</v>
      </c>
      <c r="E130" s="15" t="s">
        <v>951</v>
      </c>
      <c r="F130" s="34" t="s">
        <v>952</v>
      </c>
      <c r="G130" s="34" t="s">
        <v>953</v>
      </c>
      <c r="H130" s="34" t="s">
        <v>560</v>
      </c>
      <c r="I130" s="34" t="s">
        <v>384</v>
      </c>
      <c r="J130" s="34" t="s">
        <v>444</v>
      </c>
      <c r="K130" s="34" t="s">
        <v>471</v>
      </c>
      <c r="L130" s="34">
        <v>41829</v>
      </c>
    </row>
    <row r="131" spans="1:12" x14ac:dyDescent="0.3">
      <c r="A131" s="34" t="s">
        <v>954</v>
      </c>
      <c r="B131" s="34" t="s">
        <v>465</v>
      </c>
      <c r="C131" s="34">
        <v>4</v>
      </c>
      <c r="D131" s="34">
        <v>3506</v>
      </c>
      <c r="E131" s="15" t="s">
        <v>955</v>
      </c>
      <c r="F131" s="34" t="s">
        <v>956</v>
      </c>
      <c r="G131" s="34" t="s">
        <v>957</v>
      </c>
      <c r="H131" s="34" t="s">
        <v>514</v>
      </c>
      <c r="I131" s="34" t="s">
        <v>384</v>
      </c>
      <c r="J131" s="34" t="s">
        <v>457</v>
      </c>
      <c r="K131" s="34" t="s">
        <v>533</v>
      </c>
      <c r="L131" s="34">
        <v>14024</v>
      </c>
    </row>
    <row r="132" spans="1:12" x14ac:dyDescent="0.3">
      <c r="A132" s="34" t="s">
        <v>958</v>
      </c>
      <c r="B132" s="34" t="s">
        <v>459</v>
      </c>
      <c r="C132" s="34">
        <v>6</v>
      </c>
      <c r="D132" s="34">
        <v>17920</v>
      </c>
      <c r="E132" s="15" t="s">
        <v>776</v>
      </c>
      <c r="F132" s="34" t="s">
        <v>959</v>
      </c>
      <c r="G132" s="34" t="s">
        <v>960</v>
      </c>
      <c r="H132" s="34" t="s">
        <v>518</v>
      </c>
      <c r="I132" s="34" t="s">
        <v>384</v>
      </c>
      <c r="J132" s="34" t="s">
        <v>444</v>
      </c>
      <c r="K132" s="34" t="s">
        <v>178</v>
      </c>
      <c r="L132" s="34">
        <v>107520</v>
      </c>
    </row>
    <row r="133" spans="1:12" x14ac:dyDescent="0.3">
      <c r="A133" s="34" t="s">
        <v>961</v>
      </c>
      <c r="B133" s="34" t="s">
        <v>478</v>
      </c>
      <c r="C133" s="34">
        <v>8</v>
      </c>
      <c r="D133" s="34">
        <v>16550</v>
      </c>
      <c r="E133" s="15" t="s">
        <v>962</v>
      </c>
      <c r="F133" s="34" t="s">
        <v>963</v>
      </c>
      <c r="G133" s="34" t="s">
        <v>964</v>
      </c>
      <c r="H133" s="34" t="s">
        <v>595</v>
      </c>
      <c r="I133" s="34" t="s">
        <v>384</v>
      </c>
      <c r="J133" s="34" t="s">
        <v>457</v>
      </c>
      <c r="K133" s="34" t="s">
        <v>445</v>
      </c>
      <c r="L133" s="34">
        <v>132400</v>
      </c>
    </row>
    <row r="134" spans="1:12" x14ac:dyDescent="0.3">
      <c r="A134" s="34" t="s">
        <v>965</v>
      </c>
      <c r="B134" s="34" t="s">
        <v>495</v>
      </c>
      <c r="C134" s="34">
        <v>3</v>
      </c>
      <c r="D134" s="34">
        <v>9213</v>
      </c>
      <c r="E134" s="15" t="s">
        <v>966</v>
      </c>
      <c r="F134" s="34" t="s">
        <v>967</v>
      </c>
      <c r="G134" s="34" t="s">
        <v>968</v>
      </c>
      <c r="H134" s="34" t="s">
        <v>560</v>
      </c>
      <c r="I134" s="34" t="s">
        <v>384</v>
      </c>
      <c r="J134" s="34" t="s">
        <v>457</v>
      </c>
      <c r="K134" s="34" t="s">
        <v>445</v>
      </c>
      <c r="L134" s="34">
        <v>27639</v>
      </c>
    </row>
    <row r="135" spans="1:12" x14ac:dyDescent="0.3">
      <c r="A135" s="34" t="s">
        <v>969</v>
      </c>
      <c r="B135" s="34" t="s">
        <v>484</v>
      </c>
      <c r="C135" s="34">
        <v>8</v>
      </c>
      <c r="D135" s="34">
        <v>3146</v>
      </c>
      <c r="E135" s="15" t="s">
        <v>511</v>
      </c>
      <c r="F135" s="34" t="s">
        <v>970</v>
      </c>
      <c r="G135" s="34" t="s">
        <v>971</v>
      </c>
      <c r="H135" s="34" t="s">
        <v>694</v>
      </c>
      <c r="I135" s="34" t="s">
        <v>384</v>
      </c>
      <c r="J135" s="34" t="s">
        <v>470</v>
      </c>
      <c r="K135" s="34" t="s">
        <v>533</v>
      </c>
      <c r="L135" s="34">
        <v>25168</v>
      </c>
    </row>
    <row r="136" spans="1:12" x14ac:dyDescent="0.3">
      <c r="A136" s="34" t="s">
        <v>972</v>
      </c>
      <c r="B136" s="34" t="s">
        <v>524</v>
      </c>
      <c r="C136" s="34">
        <v>2</v>
      </c>
      <c r="D136" s="34">
        <v>4737</v>
      </c>
      <c r="E136" s="15" t="s">
        <v>973</v>
      </c>
      <c r="F136" s="34" t="s">
        <v>974</v>
      </c>
      <c r="G136" s="34" t="s">
        <v>975</v>
      </c>
      <c r="H136" s="34" t="s">
        <v>694</v>
      </c>
      <c r="I136" s="34" t="s">
        <v>384</v>
      </c>
      <c r="J136" s="34" t="s">
        <v>444</v>
      </c>
      <c r="K136" s="34" t="s">
        <v>533</v>
      </c>
      <c r="L136" s="34">
        <v>9474</v>
      </c>
    </row>
    <row r="137" spans="1:12" x14ac:dyDescent="0.3">
      <c r="A137" s="34" t="s">
        <v>976</v>
      </c>
      <c r="B137" s="34" t="s">
        <v>495</v>
      </c>
      <c r="C137" s="34">
        <v>7</v>
      </c>
      <c r="D137" s="34">
        <v>17708</v>
      </c>
      <c r="E137" s="15" t="s">
        <v>977</v>
      </c>
      <c r="F137" s="34" t="s">
        <v>978</v>
      </c>
      <c r="G137" s="34" t="s">
        <v>979</v>
      </c>
      <c r="H137" s="34" t="s">
        <v>504</v>
      </c>
      <c r="I137" s="34" t="s">
        <v>384</v>
      </c>
      <c r="J137" s="34" t="s">
        <v>470</v>
      </c>
      <c r="K137" s="34" t="s">
        <v>178</v>
      </c>
      <c r="L137" s="34">
        <v>123956</v>
      </c>
    </row>
    <row r="138" spans="1:12" x14ac:dyDescent="0.3">
      <c r="A138" s="34" t="s">
        <v>980</v>
      </c>
      <c r="B138" s="34" t="s">
        <v>459</v>
      </c>
      <c r="C138" s="34">
        <v>6</v>
      </c>
      <c r="D138" s="34">
        <v>19729</v>
      </c>
      <c r="E138" s="15" t="s">
        <v>981</v>
      </c>
      <c r="F138" s="34" t="s">
        <v>982</v>
      </c>
      <c r="G138" s="34" t="s">
        <v>921</v>
      </c>
      <c r="H138" s="34" t="s">
        <v>754</v>
      </c>
      <c r="I138" s="34" t="s">
        <v>384</v>
      </c>
      <c r="J138" s="34" t="s">
        <v>444</v>
      </c>
      <c r="K138" s="34" t="s">
        <v>489</v>
      </c>
      <c r="L138" s="34">
        <v>118374</v>
      </c>
    </row>
    <row r="139" spans="1:12" x14ac:dyDescent="0.3">
      <c r="A139" s="34" t="s">
        <v>983</v>
      </c>
      <c r="B139" s="34" t="s">
        <v>524</v>
      </c>
      <c r="C139" s="34">
        <v>1</v>
      </c>
      <c r="D139" s="34">
        <v>3365</v>
      </c>
      <c r="E139" s="15" t="s">
        <v>951</v>
      </c>
      <c r="F139" s="34" t="s">
        <v>984</v>
      </c>
      <c r="G139" s="34" t="s">
        <v>985</v>
      </c>
      <c r="H139" s="34" t="s">
        <v>565</v>
      </c>
      <c r="I139" s="34" t="s">
        <v>384</v>
      </c>
      <c r="J139" s="34" t="s">
        <v>457</v>
      </c>
      <c r="K139" s="34" t="s">
        <v>178</v>
      </c>
      <c r="L139" s="34">
        <v>3365</v>
      </c>
    </row>
    <row r="140" spans="1:12" x14ac:dyDescent="0.3">
      <c r="A140" s="34" t="s">
        <v>986</v>
      </c>
      <c r="B140" s="34" t="s">
        <v>478</v>
      </c>
      <c r="C140" s="34">
        <v>1</v>
      </c>
      <c r="D140" s="34">
        <v>15856</v>
      </c>
      <c r="E140" s="15" t="s">
        <v>987</v>
      </c>
      <c r="F140" s="34" t="s">
        <v>988</v>
      </c>
      <c r="G140" s="34" t="s">
        <v>938</v>
      </c>
      <c r="H140" s="34" t="s">
        <v>746</v>
      </c>
      <c r="I140" s="34" t="s">
        <v>384</v>
      </c>
      <c r="J140" s="34" t="s">
        <v>470</v>
      </c>
      <c r="K140" s="34" t="s">
        <v>471</v>
      </c>
      <c r="L140" s="34">
        <v>15856</v>
      </c>
    </row>
    <row r="141" spans="1:12" x14ac:dyDescent="0.3">
      <c r="A141" s="34" t="s">
        <v>989</v>
      </c>
      <c r="B141" s="34" t="s">
        <v>506</v>
      </c>
      <c r="C141" s="34">
        <v>4</v>
      </c>
      <c r="D141" s="34">
        <v>18371</v>
      </c>
      <c r="E141" s="15" t="s">
        <v>990</v>
      </c>
      <c r="F141" s="34" t="s">
        <v>991</v>
      </c>
      <c r="G141" s="34" t="s">
        <v>992</v>
      </c>
      <c r="H141" s="34" t="s">
        <v>504</v>
      </c>
      <c r="I141" s="34" t="s">
        <v>384</v>
      </c>
      <c r="J141" s="34" t="s">
        <v>444</v>
      </c>
      <c r="K141" s="34" t="s">
        <v>471</v>
      </c>
      <c r="L141" s="34">
        <v>73484</v>
      </c>
    </row>
    <row r="142" spans="1:12" x14ac:dyDescent="0.3">
      <c r="A142" s="34" t="s">
        <v>993</v>
      </c>
      <c r="B142" s="34" t="s">
        <v>510</v>
      </c>
      <c r="C142" s="34">
        <v>2</v>
      </c>
      <c r="D142" s="34">
        <v>4170</v>
      </c>
      <c r="E142" s="15" t="s">
        <v>597</v>
      </c>
      <c r="F142" s="34" t="s">
        <v>994</v>
      </c>
      <c r="G142" s="34" t="s">
        <v>995</v>
      </c>
      <c r="H142" s="34" t="s">
        <v>651</v>
      </c>
      <c r="I142" s="34" t="s">
        <v>384</v>
      </c>
      <c r="J142" s="34" t="s">
        <v>457</v>
      </c>
      <c r="K142" s="34" t="s">
        <v>445</v>
      </c>
      <c r="L142" s="34">
        <v>8340</v>
      </c>
    </row>
    <row r="143" spans="1:12" x14ac:dyDescent="0.3">
      <c r="A143" s="34" t="s">
        <v>996</v>
      </c>
      <c r="B143" s="34" t="s">
        <v>447</v>
      </c>
      <c r="C143" s="34">
        <v>7</v>
      </c>
      <c r="D143" s="34">
        <v>7222</v>
      </c>
      <c r="E143" s="15" t="s">
        <v>997</v>
      </c>
      <c r="F143" s="34" t="s">
        <v>998</v>
      </c>
      <c r="G143" s="34" t="s">
        <v>999</v>
      </c>
      <c r="H143" s="34" t="s">
        <v>443</v>
      </c>
      <c r="I143" s="34" t="s">
        <v>384</v>
      </c>
      <c r="J143" s="34" t="s">
        <v>457</v>
      </c>
      <c r="K143" s="34" t="s">
        <v>533</v>
      </c>
      <c r="L143" s="34">
        <v>50554</v>
      </c>
    </row>
    <row r="144" spans="1:12" x14ac:dyDescent="0.3">
      <c r="A144" s="34" t="s">
        <v>1000</v>
      </c>
      <c r="B144" s="34" t="s">
        <v>484</v>
      </c>
      <c r="C144" s="34">
        <v>7</v>
      </c>
      <c r="D144" s="34">
        <v>18473</v>
      </c>
      <c r="E144" s="15" t="s">
        <v>1001</v>
      </c>
      <c r="F144" s="34" t="s">
        <v>1002</v>
      </c>
      <c r="G144" s="34" t="s">
        <v>1003</v>
      </c>
      <c r="H144" s="34" t="s">
        <v>514</v>
      </c>
      <c r="I144" s="34" t="s">
        <v>384</v>
      </c>
      <c r="J144" s="34" t="s">
        <v>457</v>
      </c>
      <c r="K144" s="34" t="s">
        <v>533</v>
      </c>
      <c r="L144" s="34">
        <v>129311</v>
      </c>
    </row>
    <row r="145" spans="1:12" x14ac:dyDescent="0.3">
      <c r="A145" s="34" t="s">
        <v>1004</v>
      </c>
      <c r="B145" s="34" t="s">
        <v>484</v>
      </c>
      <c r="C145" s="34">
        <v>8</v>
      </c>
      <c r="D145" s="34">
        <v>5185</v>
      </c>
      <c r="E145" s="15" t="s">
        <v>664</v>
      </c>
      <c r="F145" s="34" t="s">
        <v>1005</v>
      </c>
      <c r="G145" s="34" t="s">
        <v>1006</v>
      </c>
      <c r="H145" s="34" t="s">
        <v>746</v>
      </c>
      <c r="I145" s="34" t="s">
        <v>384</v>
      </c>
      <c r="J145" s="34" t="s">
        <v>444</v>
      </c>
      <c r="K145" s="34" t="s">
        <v>178</v>
      </c>
      <c r="L145" s="34">
        <v>41480</v>
      </c>
    </row>
    <row r="146" spans="1:12" x14ac:dyDescent="0.3">
      <c r="A146" s="34" t="s">
        <v>1007</v>
      </c>
      <c r="B146" s="34" t="s">
        <v>447</v>
      </c>
      <c r="C146" s="34">
        <v>9</v>
      </c>
      <c r="D146" s="34">
        <v>10347</v>
      </c>
      <c r="E146" s="15" t="s">
        <v>929</v>
      </c>
      <c r="F146" s="34" t="s">
        <v>1008</v>
      </c>
      <c r="G146" s="34" t="s">
        <v>1009</v>
      </c>
      <c r="H146" s="34" t="s">
        <v>565</v>
      </c>
      <c r="I146" s="34" t="s">
        <v>384</v>
      </c>
      <c r="J146" s="34" t="s">
        <v>470</v>
      </c>
      <c r="K146" s="34" t="s">
        <v>445</v>
      </c>
      <c r="L146" s="34">
        <v>93123</v>
      </c>
    </row>
    <row r="147" spans="1:12" x14ac:dyDescent="0.3">
      <c r="A147" s="34" t="s">
        <v>1010</v>
      </c>
      <c r="B147" s="34" t="s">
        <v>465</v>
      </c>
      <c r="C147" s="34">
        <v>9</v>
      </c>
      <c r="D147" s="34">
        <v>3537</v>
      </c>
      <c r="E147" s="15" t="s">
        <v>880</v>
      </c>
      <c r="F147" s="34" t="s">
        <v>1011</v>
      </c>
      <c r="G147" s="34" t="s">
        <v>1012</v>
      </c>
      <c r="H147" s="34" t="s">
        <v>694</v>
      </c>
      <c r="I147" s="34" t="s">
        <v>384</v>
      </c>
      <c r="J147" s="34" t="s">
        <v>470</v>
      </c>
      <c r="K147" s="34" t="s">
        <v>533</v>
      </c>
      <c r="L147" s="34">
        <v>31833</v>
      </c>
    </row>
    <row r="148" spans="1:12" x14ac:dyDescent="0.3">
      <c r="A148" s="34" t="s">
        <v>1013</v>
      </c>
      <c r="B148" s="34" t="s">
        <v>459</v>
      </c>
      <c r="C148" s="34">
        <v>8</v>
      </c>
      <c r="D148" s="34">
        <v>4313</v>
      </c>
      <c r="E148" s="15" t="s">
        <v>843</v>
      </c>
      <c r="F148" s="34" t="s">
        <v>1014</v>
      </c>
      <c r="G148" s="34" t="s">
        <v>1015</v>
      </c>
      <c r="H148" s="34" t="s">
        <v>443</v>
      </c>
      <c r="I148" s="34" t="s">
        <v>384</v>
      </c>
      <c r="J148" s="34" t="s">
        <v>444</v>
      </c>
      <c r="K148" s="34" t="s">
        <v>178</v>
      </c>
      <c r="L148" s="34">
        <v>34504</v>
      </c>
    </row>
    <row r="149" spans="1:12" x14ac:dyDescent="0.3">
      <c r="A149" s="34" t="s">
        <v>1016</v>
      </c>
      <c r="B149" s="34" t="s">
        <v>447</v>
      </c>
      <c r="C149" s="34">
        <v>1</v>
      </c>
      <c r="D149" s="34">
        <v>14403</v>
      </c>
      <c r="E149" s="15" t="s">
        <v>1017</v>
      </c>
      <c r="F149" s="34" t="s">
        <v>1018</v>
      </c>
      <c r="G149" s="34" t="s">
        <v>745</v>
      </c>
      <c r="H149" s="34" t="s">
        <v>578</v>
      </c>
      <c r="I149" s="34" t="s">
        <v>384</v>
      </c>
      <c r="J149" s="34" t="s">
        <v>457</v>
      </c>
      <c r="K149" s="34" t="s">
        <v>178</v>
      </c>
      <c r="L149" s="34">
        <v>14403</v>
      </c>
    </row>
    <row r="150" spans="1:12" x14ac:dyDescent="0.3">
      <c r="A150" s="34" t="s">
        <v>1019</v>
      </c>
      <c r="B150" s="34" t="s">
        <v>524</v>
      </c>
      <c r="C150" s="34">
        <v>9</v>
      </c>
      <c r="D150" s="34">
        <v>3873</v>
      </c>
      <c r="E150" s="15" t="s">
        <v>1020</v>
      </c>
      <c r="F150" s="34" t="s">
        <v>1021</v>
      </c>
      <c r="G150" s="34" t="s">
        <v>725</v>
      </c>
      <c r="H150" s="34" t="s">
        <v>583</v>
      </c>
      <c r="I150" s="34" t="s">
        <v>384</v>
      </c>
      <c r="J150" s="34" t="s">
        <v>457</v>
      </c>
      <c r="K150" s="34" t="s">
        <v>489</v>
      </c>
      <c r="L150" s="34">
        <v>34857</v>
      </c>
    </row>
    <row r="151" spans="1:12" x14ac:dyDescent="0.3">
      <c r="A151" s="34" t="s">
        <v>1022</v>
      </c>
      <c r="B151" s="34" t="s">
        <v>447</v>
      </c>
      <c r="C151" s="34">
        <v>7</v>
      </c>
      <c r="D151" s="34">
        <v>14683</v>
      </c>
      <c r="E151" s="15" t="s">
        <v>1023</v>
      </c>
      <c r="F151" s="34" t="s">
        <v>1024</v>
      </c>
      <c r="G151" s="34" t="s">
        <v>1025</v>
      </c>
      <c r="H151" s="34" t="s">
        <v>754</v>
      </c>
      <c r="I151" s="34" t="s">
        <v>384</v>
      </c>
      <c r="J151" s="34" t="s">
        <v>457</v>
      </c>
      <c r="K151" s="34" t="s">
        <v>489</v>
      </c>
      <c r="L151" s="34">
        <v>102781</v>
      </c>
    </row>
    <row r="152" spans="1:12" x14ac:dyDescent="0.3">
      <c r="A152" s="34" t="s">
        <v>1026</v>
      </c>
      <c r="B152" s="34" t="s">
        <v>506</v>
      </c>
      <c r="C152" s="34">
        <v>9</v>
      </c>
      <c r="D152" s="34">
        <v>4295</v>
      </c>
      <c r="E152" s="15" t="s">
        <v>1027</v>
      </c>
      <c r="F152" s="34" t="s">
        <v>1028</v>
      </c>
      <c r="G152" s="34" t="s">
        <v>1029</v>
      </c>
      <c r="H152" s="34" t="s">
        <v>504</v>
      </c>
      <c r="I152" s="34" t="s">
        <v>384</v>
      </c>
      <c r="J152" s="34" t="s">
        <v>444</v>
      </c>
      <c r="K152" s="34" t="s">
        <v>178</v>
      </c>
      <c r="L152" s="34">
        <v>38655</v>
      </c>
    </row>
    <row r="153" spans="1:12" x14ac:dyDescent="0.3">
      <c r="A153" s="34" t="s">
        <v>1030</v>
      </c>
      <c r="B153" s="34" t="s">
        <v>510</v>
      </c>
      <c r="C153" s="34">
        <v>9</v>
      </c>
      <c r="D153" s="34">
        <v>7955</v>
      </c>
      <c r="E153" s="15" t="s">
        <v>1031</v>
      </c>
      <c r="F153" s="34" t="s">
        <v>1032</v>
      </c>
      <c r="G153" s="34" t="s">
        <v>999</v>
      </c>
      <c r="H153" s="34" t="s">
        <v>565</v>
      </c>
      <c r="I153" s="34" t="s">
        <v>384</v>
      </c>
      <c r="J153" s="34" t="s">
        <v>444</v>
      </c>
      <c r="K153" s="34" t="s">
        <v>178</v>
      </c>
      <c r="L153" s="34">
        <v>71595</v>
      </c>
    </row>
    <row r="154" spans="1:12" x14ac:dyDescent="0.3">
      <c r="A154" s="34" t="s">
        <v>1033</v>
      </c>
      <c r="B154" s="34" t="s">
        <v>495</v>
      </c>
      <c r="C154" s="34">
        <v>4</v>
      </c>
      <c r="D154" s="34">
        <v>19700</v>
      </c>
      <c r="E154" s="15" t="s">
        <v>1034</v>
      </c>
      <c r="F154" s="34" t="s">
        <v>1035</v>
      </c>
      <c r="G154" s="34" t="s">
        <v>968</v>
      </c>
      <c r="H154" s="34" t="s">
        <v>518</v>
      </c>
      <c r="I154" s="34" t="s">
        <v>384</v>
      </c>
      <c r="J154" s="34" t="s">
        <v>470</v>
      </c>
      <c r="K154" s="34" t="s">
        <v>178</v>
      </c>
      <c r="L154" s="34">
        <v>78800</v>
      </c>
    </row>
    <row r="155" spans="1:12" x14ac:dyDescent="0.3">
      <c r="A155" s="34" t="s">
        <v>1036</v>
      </c>
      <c r="B155" s="34" t="s">
        <v>459</v>
      </c>
      <c r="C155" s="34">
        <v>7</v>
      </c>
      <c r="D155" s="34">
        <v>10211</v>
      </c>
      <c r="E155" s="15" t="s">
        <v>783</v>
      </c>
      <c r="F155" s="34" t="s">
        <v>1037</v>
      </c>
      <c r="G155" s="34" t="s">
        <v>1038</v>
      </c>
      <c r="H155" s="34" t="s">
        <v>488</v>
      </c>
      <c r="I155" s="34" t="s">
        <v>384</v>
      </c>
      <c r="J155" s="34" t="s">
        <v>457</v>
      </c>
      <c r="K155" s="34" t="s">
        <v>533</v>
      </c>
      <c r="L155" s="34">
        <v>71477</v>
      </c>
    </row>
    <row r="156" spans="1:12" x14ac:dyDescent="0.3">
      <c r="A156" s="34" t="s">
        <v>1039</v>
      </c>
      <c r="B156" s="34" t="s">
        <v>506</v>
      </c>
      <c r="C156" s="34">
        <v>2</v>
      </c>
      <c r="D156" s="34">
        <v>3007</v>
      </c>
      <c r="E156" s="15" t="s">
        <v>857</v>
      </c>
      <c r="F156" s="34" t="s">
        <v>1040</v>
      </c>
      <c r="G156" s="34" t="s">
        <v>1041</v>
      </c>
      <c r="H156" s="34" t="s">
        <v>618</v>
      </c>
      <c r="I156" s="34" t="s">
        <v>384</v>
      </c>
      <c r="J156" s="34" t="s">
        <v>444</v>
      </c>
      <c r="K156" s="34" t="s">
        <v>445</v>
      </c>
      <c r="L156" s="34">
        <v>6014</v>
      </c>
    </row>
    <row r="157" spans="1:12" x14ac:dyDescent="0.3">
      <c r="A157" s="34" t="s">
        <v>1042</v>
      </c>
      <c r="B157" s="34" t="s">
        <v>459</v>
      </c>
      <c r="C157" s="34">
        <v>8</v>
      </c>
      <c r="D157" s="34">
        <v>6820</v>
      </c>
      <c r="E157" s="15" t="s">
        <v>1043</v>
      </c>
      <c r="F157" s="34" t="s">
        <v>1044</v>
      </c>
      <c r="G157" s="34" t="s">
        <v>450</v>
      </c>
      <c r="H157" s="34" t="s">
        <v>451</v>
      </c>
      <c r="I157" s="34" t="s">
        <v>384</v>
      </c>
      <c r="J157" s="34" t="s">
        <v>457</v>
      </c>
      <c r="K157" s="34" t="s">
        <v>471</v>
      </c>
      <c r="L157" s="34">
        <v>54560</v>
      </c>
    </row>
    <row r="158" spans="1:12" x14ac:dyDescent="0.3">
      <c r="A158" s="34" t="s">
        <v>1045</v>
      </c>
      <c r="B158" s="34" t="s">
        <v>495</v>
      </c>
      <c r="C158" s="34">
        <v>5</v>
      </c>
      <c r="D158" s="34">
        <v>18062</v>
      </c>
      <c r="E158" s="15" t="s">
        <v>1046</v>
      </c>
      <c r="F158" s="34" t="s">
        <v>1047</v>
      </c>
      <c r="G158" s="34" t="s">
        <v>1048</v>
      </c>
      <c r="H158" s="34" t="s">
        <v>451</v>
      </c>
      <c r="I158" s="34" t="s">
        <v>384</v>
      </c>
      <c r="J158" s="34" t="s">
        <v>470</v>
      </c>
      <c r="K158" s="34" t="s">
        <v>445</v>
      </c>
      <c r="L158" s="34">
        <v>90310</v>
      </c>
    </row>
    <row r="159" spans="1:12" x14ac:dyDescent="0.3">
      <c r="A159" s="34" t="s">
        <v>1049</v>
      </c>
      <c r="B159" s="34" t="s">
        <v>459</v>
      </c>
      <c r="C159" s="34">
        <v>3</v>
      </c>
      <c r="D159" s="34">
        <v>18592</v>
      </c>
      <c r="E159" s="15" t="s">
        <v>1050</v>
      </c>
      <c r="F159" s="34" t="s">
        <v>1051</v>
      </c>
      <c r="G159" s="34" t="s">
        <v>807</v>
      </c>
      <c r="H159" s="34" t="s">
        <v>639</v>
      </c>
      <c r="I159" s="34" t="s">
        <v>384</v>
      </c>
      <c r="J159" s="34" t="s">
        <v>470</v>
      </c>
      <c r="K159" s="34" t="s">
        <v>533</v>
      </c>
      <c r="L159" s="34">
        <v>55776</v>
      </c>
    </row>
    <row r="160" spans="1:12" x14ac:dyDescent="0.3">
      <c r="A160" s="34" t="s">
        <v>1052</v>
      </c>
      <c r="B160" s="34" t="s">
        <v>439</v>
      </c>
      <c r="C160" s="34">
        <v>1</v>
      </c>
      <c r="D160" s="34">
        <v>4233</v>
      </c>
      <c r="E160" s="15" t="s">
        <v>649</v>
      </c>
      <c r="F160" s="34" t="s">
        <v>1053</v>
      </c>
      <c r="G160" s="34" t="s">
        <v>1054</v>
      </c>
      <c r="H160" s="34" t="s">
        <v>451</v>
      </c>
      <c r="I160" s="34" t="s">
        <v>384</v>
      </c>
      <c r="J160" s="34" t="s">
        <v>444</v>
      </c>
      <c r="K160" s="34" t="s">
        <v>471</v>
      </c>
      <c r="L160" s="34">
        <v>4233</v>
      </c>
    </row>
    <row r="161" spans="1:12" x14ac:dyDescent="0.3">
      <c r="A161" s="34" t="s">
        <v>1055</v>
      </c>
      <c r="B161" s="34" t="s">
        <v>495</v>
      </c>
      <c r="C161" s="34">
        <v>9</v>
      </c>
      <c r="D161" s="34">
        <v>18005</v>
      </c>
      <c r="E161" s="15" t="s">
        <v>1056</v>
      </c>
      <c r="F161" s="34" t="s">
        <v>1057</v>
      </c>
      <c r="G161" s="34" t="s">
        <v>503</v>
      </c>
      <c r="H161" s="34" t="s">
        <v>560</v>
      </c>
      <c r="I161" s="34" t="s">
        <v>384</v>
      </c>
      <c r="J161" s="34" t="s">
        <v>457</v>
      </c>
      <c r="K161" s="34" t="s">
        <v>178</v>
      </c>
      <c r="L161" s="34">
        <v>162045</v>
      </c>
    </row>
    <row r="162" spans="1:12" x14ac:dyDescent="0.3">
      <c r="A162" s="34" t="s">
        <v>1058</v>
      </c>
      <c r="B162" s="34" t="s">
        <v>447</v>
      </c>
      <c r="C162" s="34">
        <v>3</v>
      </c>
      <c r="D162" s="34">
        <v>4326</v>
      </c>
      <c r="E162" s="15" t="s">
        <v>1059</v>
      </c>
      <c r="F162" s="34" t="s">
        <v>1060</v>
      </c>
      <c r="G162" s="34" t="s">
        <v>1061</v>
      </c>
      <c r="H162" s="34" t="s">
        <v>451</v>
      </c>
      <c r="I162" s="34" t="s">
        <v>384</v>
      </c>
      <c r="J162" s="34" t="s">
        <v>444</v>
      </c>
      <c r="K162" s="34" t="s">
        <v>445</v>
      </c>
      <c r="L162" s="34">
        <v>12978</v>
      </c>
    </row>
    <row r="163" spans="1:12" x14ac:dyDescent="0.3">
      <c r="A163" s="34" t="s">
        <v>1062</v>
      </c>
      <c r="B163" s="34" t="s">
        <v>524</v>
      </c>
      <c r="C163" s="34">
        <v>8</v>
      </c>
      <c r="D163" s="34">
        <v>19800</v>
      </c>
      <c r="E163" s="15" t="s">
        <v>836</v>
      </c>
      <c r="F163" s="34" t="s">
        <v>1063</v>
      </c>
      <c r="G163" s="34" t="s">
        <v>811</v>
      </c>
      <c r="H163" s="34" t="s">
        <v>482</v>
      </c>
      <c r="I163" s="34" t="s">
        <v>384</v>
      </c>
      <c r="J163" s="34" t="s">
        <v>444</v>
      </c>
      <c r="K163" s="34" t="s">
        <v>533</v>
      </c>
      <c r="L163" s="34">
        <v>158400</v>
      </c>
    </row>
    <row r="164" spans="1:12" x14ac:dyDescent="0.3">
      <c r="A164" s="34" t="s">
        <v>1064</v>
      </c>
      <c r="B164" s="34" t="s">
        <v>447</v>
      </c>
      <c r="C164" s="34">
        <v>9</v>
      </c>
      <c r="D164" s="34">
        <v>3193</v>
      </c>
      <c r="E164" s="15" t="s">
        <v>723</v>
      </c>
      <c r="F164" s="34" t="s">
        <v>1065</v>
      </c>
      <c r="G164" s="34" t="s">
        <v>698</v>
      </c>
      <c r="H164" s="34" t="s">
        <v>488</v>
      </c>
      <c r="I164" s="34" t="s">
        <v>384</v>
      </c>
      <c r="J164" s="34" t="s">
        <v>457</v>
      </c>
      <c r="K164" s="34" t="s">
        <v>178</v>
      </c>
      <c r="L164" s="34">
        <v>28737</v>
      </c>
    </row>
    <row r="165" spans="1:12" x14ac:dyDescent="0.3">
      <c r="A165" s="34" t="s">
        <v>1066</v>
      </c>
      <c r="B165" s="34" t="s">
        <v>484</v>
      </c>
      <c r="C165" s="34">
        <v>5</v>
      </c>
      <c r="D165" s="34">
        <v>12058</v>
      </c>
      <c r="E165" s="15" t="s">
        <v>1067</v>
      </c>
      <c r="F165" s="34" t="s">
        <v>1068</v>
      </c>
      <c r="G165" s="34" t="s">
        <v>1069</v>
      </c>
      <c r="H165" s="34" t="s">
        <v>482</v>
      </c>
      <c r="I165" s="34" t="s">
        <v>384</v>
      </c>
      <c r="J165" s="34" t="s">
        <v>444</v>
      </c>
      <c r="K165" s="34" t="s">
        <v>178</v>
      </c>
      <c r="L165" s="34">
        <v>60290</v>
      </c>
    </row>
    <row r="166" spans="1:12" x14ac:dyDescent="0.3">
      <c r="A166" s="34" t="s">
        <v>1070</v>
      </c>
      <c r="B166" s="34" t="s">
        <v>465</v>
      </c>
      <c r="C166" s="34">
        <v>5</v>
      </c>
      <c r="D166" s="34">
        <v>11820</v>
      </c>
      <c r="E166" s="15" t="s">
        <v>1071</v>
      </c>
      <c r="F166" s="34" t="s">
        <v>1072</v>
      </c>
      <c r="G166" s="34" t="s">
        <v>1073</v>
      </c>
      <c r="H166" s="34" t="s">
        <v>443</v>
      </c>
      <c r="I166" s="34" t="s">
        <v>384</v>
      </c>
      <c r="J166" s="34" t="s">
        <v>470</v>
      </c>
      <c r="K166" s="34" t="s">
        <v>489</v>
      </c>
      <c r="L166" s="34">
        <v>59100</v>
      </c>
    </row>
    <row r="167" spans="1:12" x14ac:dyDescent="0.3">
      <c r="A167" s="34" t="s">
        <v>1074</v>
      </c>
      <c r="B167" s="34" t="s">
        <v>484</v>
      </c>
      <c r="C167" s="34">
        <v>2</v>
      </c>
      <c r="D167" s="34">
        <v>17455</v>
      </c>
      <c r="E167" s="15" t="s">
        <v>1075</v>
      </c>
      <c r="F167" s="34" t="s">
        <v>1076</v>
      </c>
      <c r="G167" s="34" t="s">
        <v>1077</v>
      </c>
      <c r="H167" s="34" t="s">
        <v>499</v>
      </c>
      <c r="I167" s="34" t="s">
        <v>384</v>
      </c>
      <c r="J167" s="34" t="s">
        <v>444</v>
      </c>
      <c r="K167" s="34" t="s">
        <v>533</v>
      </c>
      <c r="L167" s="34">
        <v>34910</v>
      </c>
    </row>
    <row r="168" spans="1:12" x14ac:dyDescent="0.3">
      <c r="A168" s="34" t="s">
        <v>1078</v>
      </c>
      <c r="B168" s="34" t="s">
        <v>524</v>
      </c>
      <c r="C168" s="34">
        <v>8</v>
      </c>
      <c r="D168" s="34">
        <v>2907</v>
      </c>
      <c r="E168" s="15" t="s">
        <v>1079</v>
      </c>
      <c r="F168" s="34" t="s">
        <v>1080</v>
      </c>
      <c r="G168" s="34" t="s">
        <v>1081</v>
      </c>
      <c r="H168" s="34" t="s">
        <v>518</v>
      </c>
      <c r="I168" s="34" t="s">
        <v>384</v>
      </c>
      <c r="J168" s="34" t="s">
        <v>457</v>
      </c>
      <c r="K168" s="34" t="s">
        <v>533</v>
      </c>
      <c r="L168" s="34">
        <v>23256</v>
      </c>
    </row>
    <row r="169" spans="1:12" x14ac:dyDescent="0.3">
      <c r="A169" s="34" t="s">
        <v>1082</v>
      </c>
      <c r="B169" s="34" t="s">
        <v>495</v>
      </c>
      <c r="C169" s="34">
        <v>7</v>
      </c>
      <c r="D169" s="34">
        <v>18475</v>
      </c>
      <c r="E169" s="15" t="s">
        <v>1083</v>
      </c>
      <c r="F169" s="34" t="s">
        <v>1084</v>
      </c>
      <c r="G169" s="34" t="s">
        <v>1085</v>
      </c>
      <c r="H169" s="34" t="s">
        <v>560</v>
      </c>
      <c r="I169" s="34" t="s">
        <v>384</v>
      </c>
      <c r="J169" s="34" t="s">
        <v>457</v>
      </c>
      <c r="K169" s="34" t="s">
        <v>445</v>
      </c>
      <c r="L169" s="34">
        <v>129325</v>
      </c>
    </row>
    <row r="170" spans="1:12" x14ac:dyDescent="0.3">
      <c r="A170" s="34" t="s">
        <v>1086</v>
      </c>
      <c r="B170" s="34" t="s">
        <v>484</v>
      </c>
      <c r="C170" s="34">
        <v>5</v>
      </c>
      <c r="D170" s="34">
        <v>14871</v>
      </c>
      <c r="E170" s="15" t="s">
        <v>1087</v>
      </c>
      <c r="F170" s="34" t="s">
        <v>1088</v>
      </c>
      <c r="G170" s="34" t="s">
        <v>770</v>
      </c>
      <c r="H170" s="34" t="s">
        <v>518</v>
      </c>
      <c r="I170" s="34" t="s">
        <v>384</v>
      </c>
      <c r="J170" s="34" t="s">
        <v>457</v>
      </c>
      <c r="K170" s="34" t="s">
        <v>471</v>
      </c>
      <c r="L170" s="34">
        <v>74355</v>
      </c>
    </row>
    <row r="171" spans="1:12" x14ac:dyDescent="0.3">
      <c r="A171" s="34" t="s">
        <v>1089</v>
      </c>
      <c r="B171" s="34" t="s">
        <v>510</v>
      </c>
      <c r="C171" s="34">
        <v>2</v>
      </c>
      <c r="D171" s="34">
        <v>17223</v>
      </c>
      <c r="E171" s="15" t="s">
        <v>704</v>
      </c>
      <c r="F171" s="34" t="s">
        <v>1090</v>
      </c>
      <c r="G171" s="34" t="s">
        <v>1091</v>
      </c>
      <c r="H171" s="34" t="s">
        <v>488</v>
      </c>
      <c r="I171" s="34" t="s">
        <v>384</v>
      </c>
      <c r="J171" s="34" t="s">
        <v>470</v>
      </c>
      <c r="K171" s="34" t="s">
        <v>445</v>
      </c>
      <c r="L171" s="34">
        <v>34446</v>
      </c>
    </row>
    <row r="172" spans="1:12" x14ac:dyDescent="0.3">
      <c r="A172" s="34" t="s">
        <v>1092</v>
      </c>
      <c r="B172" s="34" t="s">
        <v>506</v>
      </c>
      <c r="C172" s="34">
        <v>6</v>
      </c>
      <c r="D172" s="34">
        <v>3097</v>
      </c>
      <c r="E172" s="15" t="s">
        <v>1093</v>
      </c>
      <c r="F172" s="34" t="s">
        <v>1094</v>
      </c>
      <c r="G172" s="34" t="s">
        <v>774</v>
      </c>
      <c r="H172" s="34" t="s">
        <v>488</v>
      </c>
      <c r="I172" s="34" t="s">
        <v>384</v>
      </c>
      <c r="J172" s="34" t="s">
        <v>457</v>
      </c>
      <c r="K172" s="34" t="s">
        <v>489</v>
      </c>
      <c r="L172" s="34">
        <v>18582</v>
      </c>
    </row>
    <row r="173" spans="1:12" x14ac:dyDescent="0.3">
      <c r="A173" s="34" t="s">
        <v>1095</v>
      </c>
      <c r="B173" s="34" t="s">
        <v>447</v>
      </c>
      <c r="C173" s="34">
        <v>8</v>
      </c>
      <c r="D173" s="34">
        <v>14428</v>
      </c>
      <c r="E173" s="15" t="s">
        <v>1027</v>
      </c>
      <c r="F173" s="34" t="s">
        <v>1096</v>
      </c>
      <c r="G173" s="34" t="s">
        <v>1097</v>
      </c>
      <c r="H173" s="34" t="s">
        <v>578</v>
      </c>
      <c r="I173" s="34" t="s">
        <v>384</v>
      </c>
      <c r="J173" s="34" t="s">
        <v>457</v>
      </c>
      <c r="K173" s="34" t="s">
        <v>471</v>
      </c>
      <c r="L173" s="34">
        <v>115424</v>
      </c>
    </row>
    <row r="174" spans="1:12" x14ac:dyDescent="0.3">
      <c r="A174" s="34" t="s">
        <v>1098</v>
      </c>
      <c r="B174" s="34" t="s">
        <v>478</v>
      </c>
      <c r="C174" s="34">
        <v>2</v>
      </c>
      <c r="D174" s="34">
        <v>4792</v>
      </c>
      <c r="E174" s="15" t="s">
        <v>1099</v>
      </c>
      <c r="F174" s="34" t="s">
        <v>1100</v>
      </c>
      <c r="G174" s="34" t="s">
        <v>1101</v>
      </c>
      <c r="H174" s="34" t="s">
        <v>514</v>
      </c>
      <c r="I174" s="34" t="s">
        <v>384</v>
      </c>
      <c r="J174" s="34" t="s">
        <v>470</v>
      </c>
      <c r="K174" s="34" t="s">
        <v>533</v>
      </c>
      <c r="L174" s="34">
        <v>9584</v>
      </c>
    </row>
    <row r="175" spans="1:12" x14ac:dyDescent="0.3">
      <c r="A175" s="34" t="s">
        <v>1102</v>
      </c>
      <c r="B175" s="34" t="s">
        <v>506</v>
      </c>
      <c r="C175" s="34">
        <v>4</v>
      </c>
      <c r="D175" s="34">
        <v>16317</v>
      </c>
      <c r="E175" s="15" t="s">
        <v>1103</v>
      </c>
      <c r="F175" s="34" t="s">
        <v>1104</v>
      </c>
      <c r="G175" s="34" t="s">
        <v>1105</v>
      </c>
      <c r="H175" s="34" t="s">
        <v>560</v>
      </c>
      <c r="I175" s="34" t="s">
        <v>384</v>
      </c>
      <c r="J175" s="34" t="s">
        <v>444</v>
      </c>
      <c r="K175" s="34" t="s">
        <v>445</v>
      </c>
      <c r="L175" s="34">
        <v>65268</v>
      </c>
    </row>
    <row r="176" spans="1:12" x14ac:dyDescent="0.3">
      <c r="A176" s="34" t="s">
        <v>1106</v>
      </c>
      <c r="B176" s="34" t="s">
        <v>484</v>
      </c>
      <c r="C176" s="34">
        <v>6</v>
      </c>
      <c r="D176" s="34">
        <v>13791</v>
      </c>
      <c r="E176" s="15" t="s">
        <v>832</v>
      </c>
      <c r="F176" s="34" t="s">
        <v>1107</v>
      </c>
      <c r="G176" s="34" t="s">
        <v>1108</v>
      </c>
      <c r="H176" s="34" t="s">
        <v>499</v>
      </c>
      <c r="I176" s="34" t="s">
        <v>384</v>
      </c>
      <c r="J176" s="34" t="s">
        <v>444</v>
      </c>
      <c r="K176" s="34" t="s">
        <v>489</v>
      </c>
      <c r="L176" s="34">
        <v>82746</v>
      </c>
    </row>
    <row r="177" spans="1:12" x14ac:dyDescent="0.3">
      <c r="A177" s="34" t="s">
        <v>1109</v>
      </c>
      <c r="B177" s="34" t="s">
        <v>510</v>
      </c>
      <c r="C177" s="34">
        <v>8</v>
      </c>
      <c r="D177" s="34">
        <v>11220</v>
      </c>
      <c r="E177" s="15" t="s">
        <v>719</v>
      </c>
      <c r="F177" s="34" t="s">
        <v>1110</v>
      </c>
      <c r="G177" s="34" t="s">
        <v>1111</v>
      </c>
      <c r="H177" s="34" t="s">
        <v>463</v>
      </c>
      <c r="I177" s="34" t="s">
        <v>384</v>
      </c>
      <c r="J177" s="34" t="s">
        <v>444</v>
      </c>
      <c r="K177" s="34" t="s">
        <v>445</v>
      </c>
      <c r="L177" s="34">
        <v>89760</v>
      </c>
    </row>
    <row r="178" spans="1:12" x14ac:dyDescent="0.3">
      <c r="A178" s="34" t="s">
        <v>1112</v>
      </c>
      <c r="B178" s="34" t="s">
        <v>478</v>
      </c>
      <c r="C178" s="34">
        <v>4</v>
      </c>
      <c r="D178" s="34">
        <v>3716</v>
      </c>
      <c r="E178" s="15" t="s">
        <v>1050</v>
      </c>
      <c r="F178" s="34" t="s">
        <v>1113</v>
      </c>
      <c r="G178" s="34" t="s">
        <v>1114</v>
      </c>
      <c r="H178" s="34" t="s">
        <v>504</v>
      </c>
      <c r="I178" s="34" t="s">
        <v>384</v>
      </c>
      <c r="J178" s="34" t="s">
        <v>457</v>
      </c>
      <c r="K178" s="34" t="s">
        <v>471</v>
      </c>
      <c r="L178" s="34">
        <v>14864</v>
      </c>
    </row>
    <row r="179" spans="1:12" x14ac:dyDescent="0.3">
      <c r="A179" s="34" t="s">
        <v>1115</v>
      </c>
      <c r="B179" s="34" t="s">
        <v>484</v>
      </c>
      <c r="C179" s="34">
        <v>7</v>
      </c>
      <c r="D179" s="34">
        <v>16402</v>
      </c>
      <c r="E179" s="15" t="s">
        <v>1116</v>
      </c>
      <c r="F179" s="34" t="s">
        <v>1117</v>
      </c>
      <c r="G179" s="34" t="s">
        <v>638</v>
      </c>
      <c r="H179" s="34" t="s">
        <v>746</v>
      </c>
      <c r="I179" s="34" t="s">
        <v>384</v>
      </c>
      <c r="J179" s="34" t="s">
        <v>444</v>
      </c>
      <c r="K179" s="34" t="s">
        <v>489</v>
      </c>
      <c r="L179" s="34">
        <v>114814</v>
      </c>
    </row>
    <row r="180" spans="1:12" x14ac:dyDescent="0.3">
      <c r="A180" s="34" t="s">
        <v>1118</v>
      </c>
      <c r="B180" s="34" t="s">
        <v>447</v>
      </c>
      <c r="C180" s="34">
        <v>7</v>
      </c>
      <c r="D180" s="34">
        <v>9533</v>
      </c>
      <c r="E180" s="15" t="s">
        <v>1119</v>
      </c>
      <c r="F180" s="34" t="s">
        <v>1120</v>
      </c>
      <c r="G180" s="34" t="s">
        <v>1121</v>
      </c>
      <c r="H180" s="34" t="s">
        <v>639</v>
      </c>
      <c r="I180" s="34" t="s">
        <v>384</v>
      </c>
      <c r="J180" s="34" t="s">
        <v>444</v>
      </c>
      <c r="K180" s="34" t="s">
        <v>445</v>
      </c>
      <c r="L180" s="34">
        <v>66731</v>
      </c>
    </row>
    <row r="181" spans="1:12" x14ac:dyDescent="0.3">
      <c r="A181" s="34" t="s">
        <v>1122</v>
      </c>
      <c r="B181" s="34" t="s">
        <v>510</v>
      </c>
      <c r="C181" s="34">
        <v>8</v>
      </c>
      <c r="D181" s="34">
        <v>5333</v>
      </c>
      <c r="E181" s="15" t="s">
        <v>908</v>
      </c>
      <c r="F181" s="34" t="s">
        <v>1123</v>
      </c>
      <c r="G181" s="34" t="s">
        <v>1108</v>
      </c>
      <c r="H181" s="34" t="s">
        <v>694</v>
      </c>
      <c r="I181" s="34" t="s">
        <v>384</v>
      </c>
      <c r="J181" s="34" t="s">
        <v>470</v>
      </c>
      <c r="K181" s="34" t="s">
        <v>445</v>
      </c>
      <c r="L181" s="34">
        <v>42664</v>
      </c>
    </row>
    <row r="182" spans="1:12" x14ac:dyDescent="0.3">
      <c r="A182" s="34" t="s">
        <v>1124</v>
      </c>
      <c r="B182" s="34" t="s">
        <v>510</v>
      </c>
      <c r="C182" s="34">
        <v>2</v>
      </c>
      <c r="D182" s="34">
        <v>10527</v>
      </c>
      <c r="E182" s="15" t="s">
        <v>764</v>
      </c>
      <c r="F182" s="34" t="s">
        <v>1125</v>
      </c>
      <c r="G182" s="34" t="s">
        <v>450</v>
      </c>
      <c r="H182" s="34" t="s">
        <v>595</v>
      </c>
      <c r="I182" s="34" t="s">
        <v>384</v>
      </c>
      <c r="J182" s="34" t="s">
        <v>470</v>
      </c>
      <c r="K182" s="34" t="s">
        <v>533</v>
      </c>
      <c r="L182" s="34">
        <v>21054</v>
      </c>
    </row>
    <row r="183" spans="1:12" x14ac:dyDescent="0.3">
      <c r="A183" s="34" t="s">
        <v>1126</v>
      </c>
      <c r="B183" s="34" t="s">
        <v>495</v>
      </c>
      <c r="C183" s="34">
        <v>7</v>
      </c>
      <c r="D183" s="34">
        <v>14111</v>
      </c>
      <c r="E183" s="15" t="s">
        <v>768</v>
      </c>
      <c r="F183" s="34" t="s">
        <v>1127</v>
      </c>
      <c r="G183" s="34" t="s">
        <v>1128</v>
      </c>
      <c r="H183" s="34" t="s">
        <v>456</v>
      </c>
      <c r="I183" s="34" t="s">
        <v>384</v>
      </c>
      <c r="J183" s="34" t="s">
        <v>470</v>
      </c>
      <c r="K183" s="34" t="s">
        <v>489</v>
      </c>
      <c r="L183" s="34">
        <v>98777</v>
      </c>
    </row>
    <row r="184" spans="1:12" x14ac:dyDescent="0.3">
      <c r="A184" s="34" t="s">
        <v>1129</v>
      </c>
      <c r="B184" s="34" t="s">
        <v>447</v>
      </c>
      <c r="C184" s="34">
        <v>1</v>
      </c>
      <c r="D184" s="34">
        <v>17321</v>
      </c>
      <c r="E184" s="15" t="s">
        <v>530</v>
      </c>
      <c r="F184" s="34" t="s">
        <v>1130</v>
      </c>
      <c r="G184" s="34" t="s">
        <v>1131</v>
      </c>
      <c r="H184" s="34" t="s">
        <v>443</v>
      </c>
      <c r="I184" s="34" t="s">
        <v>384</v>
      </c>
      <c r="J184" s="34" t="s">
        <v>457</v>
      </c>
      <c r="K184" s="34" t="s">
        <v>178</v>
      </c>
      <c r="L184" s="34">
        <v>17321</v>
      </c>
    </row>
    <row r="185" spans="1:12" x14ac:dyDescent="0.3">
      <c r="A185" s="34" t="s">
        <v>1132</v>
      </c>
      <c r="B185" s="34" t="s">
        <v>495</v>
      </c>
      <c r="C185" s="34">
        <v>4</v>
      </c>
      <c r="D185" s="34">
        <v>2662</v>
      </c>
      <c r="E185" s="15" t="s">
        <v>620</v>
      </c>
      <c r="F185" s="34" t="s">
        <v>1133</v>
      </c>
      <c r="G185" s="34" t="s">
        <v>606</v>
      </c>
      <c r="H185" s="34" t="s">
        <v>754</v>
      </c>
      <c r="I185" s="34" t="s">
        <v>384</v>
      </c>
      <c r="J185" s="34" t="s">
        <v>457</v>
      </c>
      <c r="K185" s="34" t="s">
        <v>471</v>
      </c>
      <c r="L185" s="34">
        <v>10648</v>
      </c>
    </row>
    <row r="186" spans="1:12" x14ac:dyDescent="0.3">
      <c r="A186" s="34" t="s">
        <v>1134</v>
      </c>
      <c r="B186" s="34" t="s">
        <v>465</v>
      </c>
      <c r="C186" s="34">
        <v>9</v>
      </c>
      <c r="D186" s="34">
        <v>16809</v>
      </c>
      <c r="E186" s="15" t="s">
        <v>926</v>
      </c>
      <c r="F186" s="34" t="s">
        <v>1135</v>
      </c>
      <c r="G186" s="34" t="s">
        <v>1006</v>
      </c>
      <c r="H186" s="34" t="s">
        <v>618</v>
      </c>
      <c r="I186" s="34" t="s">
        <v>384</v>
      </c>
      <c r="J186" s="34" t="s">
        <v>470</v>
      </c>
      <c r="K186" s="34" t="s">
        <v>471</v>
      </c>
      <c r="L186" s="34">
        <v>151281</v>
      </c>
    </row>
    <row r="187" spans="1:12" x14ac:dyDescent="0.3">
      <c r="A187" s="34" t="s">
        <v>1136</v>
      </c>
      <c r="B187" s="34" t="s">
        <v>459</v>
      </c>
      <c r="C187" s="34">
        <v>5</v>
      </c>
      <c r="D187" s="34">
        <v>11433</v>
      </c>
      <c r="E187" s="15" t="s">
        <v>1137</v>
      </c>
      <c r="F187" s="34" t="s">
        <v>1138</v>
      </c>
      <c r="G187" s="34" t="s">
        <v>659</v>
      </c>
      <c r="H187" s="34" t="s">
        <v>651</v>
      </c>
      <c r="I187" s="34" t="s">
        <v>384</v>
      </c>
      <c r="J187" s="34" t="s">
        <v>444</v>
      </c>
      <c r="K187" s="34" t="s">
        <v>489</v>
      </c>
      <c r="L187" s="34">
        <v>57165</v>
      </c>
    </row>
    <row r="188" spans="1:12" x14ac:dyDescent="0.3">
      <c r="A188" s="34" t="s">
        <v>1139</v>
      </c>
      <c r="B188" s="34" t="s">
        <v>478</v>
      </c>
      <c r="C188" s="34">
        <v>2</v>
      </c>
      <c r="D188" s="34">
        <v>9998</v>
      </c>
      <c r="E188" s="15" t="s">
        <v>1140</v>
      </c>
      <c r="F188" s="34" t="s">
        <v>1141</v>
      </c>
      <c r="G188" s="34" t="s">
        <v>1142</v>
      </c>
      <c r="H188" s="34" t="s">
        <v>682</v>
      </c>
      <c r="I188" s="34" t="s">
        <v>384</v>
      </c>
      <c r="J188" s="34" t="s">
        <v>457</v>
      </c>
      <c r="K188" s="34" t="s">
        <v>471</v>
      </c>
      <c r="L188" s="34">
        <v>19996</v>
      </c>
    </row>
    <row r="189" spans="1:12" x14ac:dyDescent="0.3">
      <c r="A189" s="34" t="s">
        <v>1143</v>
      </c>
      <c r="B189" s="34" t="s">
        <v>465</v>
      </c>
      <c r="C189" s="34">
        <v>5</v>
      </c>
      <c r="D189" s="34">
        <v>10989</v>
      </c>
      <c r="E189" s="15" t="s">
        <v>731</v>
      </c>
      <c r="F189" s="34" t="s">
        <v>1144</v>
      </c>
      <c r="G189" s="34" t="s">
        <v>1145</v>
      </c>
      <c r="H189" s="34" t="s">
        <v>476</v>
      </c>
      <c r="I189" s="34" t="s">
        <v>384</v>
      </c>
      <c r="J189" s="34" t="s">
        <v>444</v>
      </c>
      <c r="K189" s="34" t="s">
        <v>178</v>
      </c>
      <c r="L189" s="34">
        <v>54945</v>
      </c>
    </row>
    <row r="190" spans="1:12" x14ac:dyDescent="0.3">
      <c r="A190" s="34" t="s">
        <v>1146</v>
      </c>
      <c r="B190" s="34" t="s">
        <v>478</v>
      </c>
      <c r="C190" s="34">
        <v>6</v>
      </c>
      <c r="D190" s="34">
        <v>11993</v>
      </c>
      <c r="E190" s="15" t="s">
        <v>1147</v>
      </c>
      <c r="F190" s="34" t="s">
        <v>1148</v>
      </c>
      <c r="G190" s="34" t="s">
        <v>1149</v>
      </c>
      <c r="H190" s="34" t="s">
        <v>538</v>
      </c>
      <c r="I190" s="34" t="s">
        <v>384</v>
      </c>
      <c r="J190" s="34" t="s">
        <v>444</v>
      </c>
      <c r="K190" s="34" t="s">
        <v>533</v>
      </c>
      <c r="L190" s="34">
        <v>71958</v>
      </c>
    </row>
    <row r="191" spans="1:12" x14ac:dyDescent="0.3">
      <c r="A191" s="34" t="s">
        <v>1150</v>
      </c>
      <c r="B191" s="34" t="s">
        <v>510</v>
      </c>
      <c r="C191" s="34">
        <v>1</v>
      </c>
      <c r="D191" s="34">
        <v>13133</v>
      </c>
      <c r="E191" s="15" t="s">
        <v>739</v>
      </c>
      <c r="F191" s="34" t="s">
        <v>1151</v>
      </c>
      <c r="G191" s="34" t="s">
        <v>957</v>
      </c>
      <c r="H191" s="34" t="s">
        <v>451</v>
      </c>
      <c r="I191" s="34" t="s">
        <v>384</v>
      </c>
      <c r="J191" s="34" t="s">
        <v>444</v>
      </c>
      <c r="K191" s="34" t="s">
        <v>533</v>
      </c>
      <c r="L191" s="34">
        <v>13133</v>
      </c>
    </row>
    <row r="192" spans="1:12" x14ac:dyDescent="0.3">
      <c r="A192" s="34" t="s">
        <v>1152</v>
      </c>
      <c r="B192" s="34" t="s">
        <v>484</v>
      </c>
      <c r="C192" s="34">
        <v>4</v>
      </c>
      <c r="D192" s="34">
        <v>13111</v>
      </c>
      <c r="E192" s="15" t="s">
        <v>1153</v>
      </c>
      <c r="F192" s="34" t="s">
        <v>1154</v>
      </c>
      <c r="G192" s="34" t="s">
        <v>1155</v>
      </c>
      <c r="H192" s="34" t="s">
        <v>682</v>
      </c>
      <c r="I192" s="34" t="s">
        <v>384</v>
      </c>
      <c r="J192" s="34" t="s">
        <v>444</v>
      </c>
      <c r="K192" s="34" t="s">
        <v>178</v>
      </c>
      <c r="L192" s="34">
        <v>52444</v>
      </c>
    </row>
    <row r="193" spans="1:12" x14ac:dyDescent="0.3">
      <c r="A193" s="34" t="s">
        <v>1156</v>
      </c>
      <c r="B193" s="34" t="s">
        <v>510</v>
      </c>
      <c r="C193" s="34">
        <v>2</v>
      </c>
      <c r="D193" s="34">
        <v>5794</v>
      </c>
      <c r="E193" s="15" t="s">
        <v>1157</v>
      </c>
      <c r="F193" s="34" t="s">
        <v>1158</v>
      </c>
      <c r="G193" s="34" t="s">
        <v>1159</v>
      </c>
      <c r="H193" s="34" t="s">
        <v>651</v>
      </c>
      <c r="I193" s="34" t="s">
        <v>384</v>
      </c>
      <c r="J193" s="34" t="s">
        <v>457</v>
      </c>
      <c r="K193" s="34" t="s">
        <v>178</v>
      </c>
      <c r="L193" s="34">
        <v>11588</v>
      </c>
    </row>
    <row r="194" spans="1:12" x14ac:dyDescent="0.3">
      <c r="A194" s="34" t="s">
        <v>1160</v>
      </c>
      <c r="B194" s="34" t="s">
        <v>510</v>
      </c>
      <c r="C194" s="34">
        <v>5</v>
      </c>
      <c r="D194" s="34">
        <v>9752</v>
      </c>
      <c r="E194" s="15" t="s">
        <v>1161</v>
      </c>
      <c r="F194" s="34" t="s">
        <v>1162</v>
      </c>
      <c r="G194" s="34" t="s">
        <v>918</v>
      </c>
      <c r="H194" s="34" t="s">
        <v>595</v>
      </c>
      <c r="I194" s="34" t="s">
        <v>384</v>
      </c>
      <c r="J194" s="34" t="s">
        <v>470</v>
      </c>
      <c r="K194" s="34" t="s">
        <v>445</v>
      </c>
      <c r="L194" s="34">
        <v>48760</v>
      </c>
    </row>
    <row r="195" spans="1:12" x14ac:dyDescent="0.3">
      <c r="A195" s="34" t="s">
        <v>1163</v>
      </c>
      <c r="B195" s="34" t="s">
        <v>447</v>
      </c>
      <c r="C195" s="34">
        <v>5</v>
      </c>
      <c r="D195" s="34">
        <v>18639</v>
      </c>
      <c r="E195" s="15" t="s">
        <v>1164</v>
      </c>
      <c r="F195" s="34" t="s">
        <v>1165</v>
      </c>
      <c r="G195" s="34" t="s">
        <v>626</v>
      </c>
      <c r="H195" s="34" t="s">
        <v>499</v>
      </c>
      <c r="I195" s="34" t="s">
        <v>384</v>
      </c>
      <c r="J195" s="34" t="s">
        <v>470</v>
      </c>
      <c r="K195" s="34" t="s">
        <v>178</v>
      </c>
      <c r="L195" s="34">
        <v>93195</v>
      </c>
    </row>
    <row r="196" spans="1:12" x14ac:dyDescent="0.3">
      <c r="A196" s="34" t="s">
        <v>1166</v>
      </c>
      <c r="B196" s="34" t="s">
        <v>478</v>
      </c>
      <c r="C196" s="34">
        <v>5</v>
      </c>
      <c r="D196" s="34">
        <v>8770</v>
      </c>
      <c r="E196" s="15" t="s">
        <v>1137</v>
      </c>
      <c r="F196" s="34" t="s">
        <v>1167</v>
      </c>
      <c r="G196" s="34" t="s">
        <v>1012</v>
      </c>
      <c r="H196" s="34" t="s">
        <v>514</v>
      </c>
      <c r="I196" s="34" t="s">
        <v>384</v>
      </c>
      <c r="J196" s="34" t="s">
        <v>470</v>
      </c>
      <c r="K196" s="34" t="s">
        <v>445</v>
      </c>
      <c r="L196" s="34">
        <v>43850</v>
      </c>
    </row>
    <row r="197" spans="1:12" x14ac:dyDescent="0.3">
      <c r="A197" s="34" t="s">
        <v>1168</v>
      </c>
      <c r="B197" s="34" t="s">
        <v>524</v>
      </c>
      <c r="C197" s="34">
        <v>1</v>
      </c>
      <c r="D197" s="34">
        <v>8385</v>
      </c>
      <c r="E197" s="15" t="s">
        <v>1169</v>
      </c>
      <c r="F197" s="34" t="s">
        <v>1170</v>
      </c>
      <c r="G197" s="34" t="s">
        <v>1171</v>
      </c>
      <c r="H197" s="34" t="s">
        <v>443</v>
      </c>
      <c r="I197" s="34" t="s">
        <v>384</v>
      </c>
      <c r="J197" s="34" t="s">
        <v>444</v>
      </c>
      <c r="K197" s="34" t="s">
        <v>471</v>
      </c>
      <c r="L197" s="34">
        <v>8385</v>
      </c>
    </row>
    <row r="198" spans="1:12" x14ac:dyDescent="0.3">
      <c r="A198" s="34" t="s">
        <v>1172</v>
      </c>
      <c r="B198" s="34" t="s">
        <v>447</v>
      </c>
      <c r="C198" s="34">
        <v>1</v>
      </c>
      <c r="D198" s="34">
        <v>11527</v>
      </c>
      <c r="E198" s="15" t="s">
        <v>1173</v>
      </c>
      <c r="F198" s="34" t="s">
        <v>1174</v>
      </c>
      <c r="G198" s="34" t="s">
        <v>1025</v>
      </c>
      <c r="H198" s="34" t="s">
        <v>682</v>
      </c>
      <c r="I198" s="34" t="s">
        <v>384</v>
      </c>
      <c r="J198" s="34" t="s">
        <v>470</v>
      </c>
      <c r="K198" s="34" t="s">
        <v>471</v>
      </c>
      <c r="L198" s="34">
        <v>11527</v>
      </c>
    </row>
    <row r="199" spans="1:12" x14ac:dyDescent="0.3">
      <c r="A199" s="34" t="s">
        <v>1175</v>
      </c>
      <c r="B199" s="34" t="s">
        <v>478</v>
      </c>
      <c r="C199" s="34">
        <v>9</v>
      </c>
      <c r="D199" s="34">
        <v>18074</v>
      </c>
      <c r="E199" s="15" t="s">
        <v>1176</v>
      </c>
      <c r="F199" s="34" t="s">
        <v>1177</v>
      </c>
      <c r="G199" s="34" t="s">
        <v>1178</v>
      </c>
      <c r="H199" s="34" t="s">
        <v>528</v>
      </c>
      <c r="I199" s="34" t="s">
        <v>384</v>
      </c>
      <c r="J199" s="34" t="s">
        <v>444</v>
      </c>
      <c r="K199" s="34" t="s">
        <v>533</v>
      </c>
      <c r="L199" s="34">
        <v>162666</v>
      </c>
    </row>
    <row r="200" spans="1:12" x14ac:dyDescent="0.3">
      <c r="A200" s="34" t="s">
        <v>1179</v>
      </c>
      <c r="B200" s="34" t="s">
        <v>478</v>
      </c>
      <c r="C200" s="34">
        <v>5</v>
      </c>
      <c r="D200" s="34">
        <v>7400</v>
      </c>
      <c r="E200" s="15" t="s">
        <v>1180</v>
      </c>
      <c r="F200" s="34" t="s">
        <v>1181</v>
      </c>
      <c r="G200" s="34" t="s">
        <v>1182</v>
      </c>
      <c r="H200" s="34" t="s">
        <v>476</v>
      </c>
      <c r="I200" s="34" t="s">
        <v>384</v>
      </c>
      <c r="J200" s="34" t="s">
        <v>470</v>
      </c>
      <c r="K200" s="34" t="s">
        <v>471</v>
      </c>
      <c r="L200" s="34">
        <v>37000</v>
      </c>
    </row>
    <row r="201" spans="1:12" x14ac:dyDescent="0.3">
      <c r="A201" s="34" t="s">
        <v>1183</v>
      </c>
      <c r="B201" s="34" t="s">
        <v>465</v>
      </c>
      <c r="C201" s="34">
        <v>7</v>
      </c>
      <c r="D201" s="34">
        <v>3677</v>
      </c>
      <c r="E201" s="15" t="s">
        <v>1184</v>
      </c>
      <c r="F201" s="34" t="s">
        <v>1185</v>
      </c>
      <c r="G201" s="34" t="s">
        <v>1186</v>
      </c>
      <c r="H201" s="34" t="s">
        <v>482</v>
      </c>
      <c r="I201" s="34" t="s">
        <v>384</v>
      </c>
      <c r="J201" s="34" t="s">
        <v>457</v>
      </c>
      <c r="K201" s="34" t="s">
        <v>445</v>
      </c>
      <c r="L201" s="34">
        <v>25739</v>
      </c>
    </row>
    <row r="202" spans="1:12" x14ac:dyDescent="0.3">
      <c r="A202" s="34" t="s">
        <v>1187</v>
      </c>
      <c r="B202" s="34" t="s">
        <v>524</v>
      </c>
      <c r="C202" s="34">
        <v>4</v>
      </c>
      <c r="D202" s="34">
        <v>8149</v>
      </c>
      <c r="E202" s="15" t="s">
        <v>840</v>
      </c>
      <c r="F202" s="34" t="s">
        <v>1188</v>
      </c>
      <c r="G202" s="34" t="s">
        <v>1189</v>
      </c>
      <c r="H202" s="34" t="s">
        <v>746</v>
      </c>
      <c r="I202" s="34" t="s">
        <v>384</v>
      </c>
      <c r="J202" s="34" t="s">
        <v>444</v>
      </c>
      <c r="K202" s="34" t="s">
        <v>178</v>
      </c>
      <c r="L202" s="34">
        <v>32596</v>
      </c>
    </row>
    <row r="203" spans="1:12" x14ac:dyDescent="0.3">
      <c r="A203" s="34" t="s">
        <v>1190</v>
      </c>
      <c r="B203" s="34" t="s">
        <v>439</v>
      </c>
      <c r="C203" s="34">
        <v>4</v>
      </c>
      <c r="D203" s="34">
        <v>7735</v>
      </c>
      <c r="E203" s="15" t="s">
        <v>1191</v>
      </c>
      <c r="F203" s="34" t="s">
        <v>1192</v>
      </c>
      <c r="G203" s="34" t="s">
        <v>885</v>
      </c>
      <c r="H203" s="34" t="s">
        <v>543</v>
      </c>
      <c r="I203" s="34" t="s">
        <v>384</v>
      </c>
      <c r="J203" s="34" t="s">
        <v>444</v>
      </c>
      <c r="K203" s="34" t="s">
        <v>471</v>
      </c>
      <c r="L203" s="34">
        <v>30940</v>
      </c>
    </row>
    <row r="204" spans="1:12" x14ac:dyDescent="0.3">
      <c r="A204" s="34" t="s">
        <v>1193</v>
      </c>
      <c r="B204" s="34" t="s">
        <v>484</v>
      </c>
      <c r="C204" s="34">
        <v>3</v>
      </c>
      <c r="D204" s="34">
        <v>17409</v>
      </c>
      <c r="E204" s="15" t="s">
        <v>1194</v>
      </c>
      <c r="F204" s="34" t="s">
        <v>1195</v>
      </c>
      <c r="G204" s="34" t="s">
        <v>647</v>
      </c>
      <c r="H204" s="34" t="s">
        <v>514</v>
      </c>
      <c r="I204" s="34" t="s">
        <v>384</v>
      </c>
      <c r="J204" s="34" t="s">
        <v>444</v>
      </c>
      <c r="K204" s="34" t="s">
        <v>471</v>
      </c>
      <c r="L204" s="34">
        <v>52227</v>
      </c>
    </row>
    <row r="205" spans="1:12" x14ac:dyDescent="0.3">
      <c r="A205" s="34" t="s">
        <v>1196</v>
      </c>
      <c r="B205" s="34" t="s">
        <v>447</v>
      </c>
      <c r="C205" s="34">
        <v>2</v>
      </c>
      <c r="D205" s="34">
        <v>19765</v>
      </c>
      <c r="E205" s="15" t="s">
        <v>987</v>
      </c>
      <c r="F205" s="34" t="s">
        <v>1197</v>
      </c>
      <c r="G205" s="34" t="s">
        <v>503</v>
      </c>
      <c r="H205" s="34" t="s">
        <v>694</v>
      </c>
      <c r="I205" s="34" t="s">
        <v>384</v>
      </c>
      <c r="J205" s="34" t="s">
        <v>457</v>
      </c>
      <c r="K205" s="34" t="s">
        <v>471</v>
      </c>
      <c r="L205" s="34">
        <v>39530</v>
      </c>
    </row>
    <row r="206" spans="1:12" x14ac:dyDescent="0.3">
      <c r="A206" s="34" t="s">
        <v>1198</v>
      </c>
      <c r="B206" s="34" t="s">
        <v>510</v>
      </c>
      <c r="C206" s="34">
        <v>3</v>
      </c>
      <c r="D206" s="34">
        <v>6248</v>
      </c>
      <c r="E206" s="15" t="s">
        <v>1199</v>
      </c>
      <c r="F206" s="34" t="s">
        <v>1200</v>
      </c>
      <c r="G206" s="34" t="s">
        <v>1201</v>
      </c>
      <c r="H206" s="34" t="s">
        <v>476</v>
      </c>
      <c r="I206" s="34" t="s">
        <v>384</v>
      </c>
      <c r="J206" s="34" t="s">
        <v>457</v>
      </c>
      <c r="K206" s="34" t="s">
        <v>489</v>
      </c>
      <c r="L206" s="34">
        <v>18744</v>
      </c>
    </row>
    <row r="207" spans="1:12" x14ac:dyDescent="0.3">
      <c r="A207" s="34" t="s">
        <v>1202</v>
      </c>
      <c r="B207" s="34" t="s">
        <v>439</v>
      </c>
      <c r="C207" s="34">
        <v>2</v>
      </c>
      <c r="D207" s="34">
        <v>14351</v>
      </c>
      <c r="E207" s="15" t="s">
        <v>1203</v>
      </c>
      <c r="F207" s="34" t="s">
        <v>1204</v>
      </c>
      <c r="G207" s="34" t="s">
        <v>1205</v>
      </c>
      <c r="H207" s="34" t="s">
        <v>710</v>
      </c>
      <c r="I207" s="34" t="s">
        <v>384</v>
      </c>
      <c r="J207" s="34" t="s">
        <v>470</v>
      </c>
      <c r="K207" s="34" t="s">
        <v>178</v>
      </c>
      <c r="L207" s="34">
        <v>28702</v>
      </c>
    </row>
    <row r="208" spans="1:12" x14ac:dyDescent="0.3">
      <c r="A208" s="34" t="s">
        <v>1206</v>
      </c>
      <c r="B208" s="34" t="s">
        <v>484</v>
      </c>
      <c r="C208" s="34">
        <v>4</v>
      </c>
      <c r="D208" s="34">
        <v>3565</v>
      </c>
      <c r="E208" s="15" t="s">
        <v>1207</v>
      </c>
      <c r="F208" s="34" t="s">
        <v>1208</v>
      </c>
      <c r="G208" s="34" t="s">
        <v>1209</v>
      </c>
      <c r="H208" s="34" t="s">
        <v>463</v>
      </c>
      <c r="I208" s="34" t="s">
        <v>384</v>
      </c>
      <c r="J208" s="34" t="s">
        <v>444</v>
      </c>
      <c r="K208" s="34" t="s">
        <v>533</v>
      </c>
      <c r="L208" s="34">
        <v>14260</v>
      </c>
    </row>
    <row r="209" spans="1:12" x14ac:dyDescent="0.3">
      <c r="A209" s="34" t="s">
        <v>1210</v>
      </c>
      <c r="B209" s="34" t="s">
        <v>495</v>
      </c>
      <c r="C209" s="34">
        <v>5</v>
      </c>
      <c r="D209" s="34">
        <v>6593</v>
      </c>
      <c r="E209" s="15" t="s">
        <v>1137</v>
      </c>
      <c r="F209" s="34" t="s">
        <v>1211</v>
      </c>
      <c r="G209" s="34" t="s">
        <v>622</v>
      </c>
      <c r="H209" s="34" t="s">
        <v>463</v>
      </c>
      <c r="I209" s="34" t="s">
        <v>384</v>
      </c>
      <c r="J209" s="34" t="s">
        <v>444</v>
      </c>
      <c r="K209" s="34" t="s">
        <v>178</v>
      </c>
      <c r="L209" s="34">
        <v>32965</v>
      </c>
    </row>
    <row r="210" spans="1:12" x14ac:dyDescent="0.3">
      <c r="A210" s="34" t="s">
        <v>1212</v>
      </c>
      <c r="B210" s="34" t="s">
        <v>459</v>
      </c>
      <c r="C210" s="34">
        <v>2</v>
      </c>
      <c r="D210" s="34">
        <v>12602</v>
      </c>
      <c r="E210" s="15" t="s">
        <v>1213</v>
      </c>
      <c r="F210" s="34" t="s">
        <v>1214</v>
      </c>
      <c r="G210" s="34" t="s">
        <v>468</v>
      </c>
      <c r="H210" s="34" t="s">
        <v>482</v>
      </c>
      <c r="I210" s="34" t="s">
        <v>384</v>
      </c>
      <c r="J210" s="34" t="s">
        <v>457</v>
      </c>
      <c r="K210" s="34" t="s">
        <v>471</v>
      </c>
      <c r="L210" s="34">
        <v>25204</v>
      </c>
    </row>
    <row r="211" spans="1:12" x14ac:dyDescent="0.3">
      <c r="A211" s="34" t="s">
        <v>1215</v>
      </c>
      <c r="B211" s="34" t="s">
        <v>510</v>
      </c>
      <c r="C211" s="34">
        <v>2</v>
      </c>
      <c r="D211" s="34">
        <v>5339</v>
      </c>
      <c r="E211" s="15" t="s">
        <v>867</v>
      </c>
      <c r="F211" s="34" t="s">
        <v>1216</v>
      </c>
      <c r="G211" s="34" t="s">
        <v>945</v>
      </c>
      <c r="H211" s="34" t="s">
        <v>499</v>
      </c>
      <c r="I211" s="34" t="s">
        <v>384</v>
      </c>
      <c r="J211" s="34" t="s">
        <v>457</v>
      </c>
      <c r="K211" s="34" t="s">
        <v>445</v>
      </c>
      <c r="L211" s="34">
        <v>10678</v>
      </c>
    </row>
    <row r="212" spans="1:12" x14ac:dyDescent="0.3">
      <c r="A212" s="34" t="s">
        <v>1217</v>
      </c>
      <c r="B212" s="34" t="s">
        <v>447</v>
      </c>
      <c r="C212" s="34">
        <v>1</v>
      </c>
      <c r="D212" s="34">
        <v>9615</v>
      </c>
      <c r="E212" s="15" t="s">
        <v>1218</v>
      </c>
      <c r="F212" s="34" t="s">
        <v>1219</v>
      </c>
      <c r="G212" s="34" t="s">
        <v>995</v>
      </c>
      <c r="H212" s="34" t="s">
        <v>595</v>
      </c>
      <c r="I212" s="34" t="s">
        <v>384</v>
      </c>
      <c r="J212" s="34" t="s">
        <v>457</v>
      </c>
      <c r="K212" s="34" t="s">
        <v>533</v>
      </c>
      <c r="L212" s="34">
        <v>9615</v>
      </c>
    </row>
    <row r="213" spans="1:12" x14ac:dyDescent="0.3">
      <c r="A213" s="34" t="s">
        <v>1220</v>
      </c>
      <c r="B213" s="34" t="s">
        <v>484</v>
      </c>
      <c r="C213" s="34">
        <v>8</v>
      </c>
      <c r="D213" s="34">
        <v>11504</v>
      </c>
      <c r="E213" s="15" t="s">
        <v>1087</v>
      </c>
      <c r="F213" s="34" t="s">
        <v>1221</v>
      </c>
      <c r="G213" s="34" t="s">
        <v>1222</v>
      </c>
      <c r="H213" s="34" t="s">
        <v>560</v>
      </c>
      <c r="I213" s="34" t="s">
        <v>384</v>
      </c>
      <c r="J213" s="34" t="s">
        <v>470</v>
      </c>
      <c r="K213" s="34" t="s">
        <v>471</v>
      </c>
      <c r="L213" s="34">
        <v>92032</v>
      </c>
    </row>
    <row r="214" spans="1:12" x14ac:dyDescent="0.3">
      <c r="A214" s="34" t="s">
        <v>1223</v>
      </c>
      <c r="B214" s="34" t="s">
        <v>484</v>
      </c>
      <c r="C214" s="34">
        <v>9</v>
      </c>
      <c r="D214" s="34">
        <v>8337</v>
      </c>
      <c r="E214" s="15" t="s">
        <v>1224</v>
      </c>
      <c r="F214" s="34" t="s">
        <v>1225</v>
      </c>
      <c r="G214" s="34" t="s">
        <v>838</v>
      </c>
      <c r="H214" s="34" t="s">
        <v>618</v>
      </c>
      <c r="I214" s="34" t="s">
        <v>384</v>
      </c>
      <c r="J214" s="34" t="s">
        <v>444</v>
      </c>
      <c r="K214" s="34" t="s">
        <v>445</v>
      </c>
      <c r="L214" s="34">
        <v>75033</v>
      </c>
    </row>
    <row r="215" spans="1:12" x14ac:dyDescent="0.3">
      <c r="A215" s="34" t="s">
        <v>1226</v>
      </c>
      <c r="B215" s="34" t="s">
        <v>459</v>
      </c>
      <c r="C215" s="34">
        <v>5</v>
      </c>
      <c r="D215" s="34">
        <v>7241</v>
      </c>
      <c r="E215" s="15" t="s">
        <v>1227</v>
      </c>
      <c r="F215" s="34" t="s">
        <v>1228</v>
      </c>
      <c r="G215" s="34" t="s">
        <v>1111</v>
      </c>
      <c r="H215" s="34" t="s">
        <v>694</v>
      </c>
      <c r="I215" s="34" t="s">
        <v>384</v>
      </c>
      <c r="J215" s="34" t="s">
        <v>470</v>
      </c>
      <c r="K215" s="34" t="s">
        <v>533</v>
      </c>
      <c r="L215" s="34">
        <v>36205</v>
      </c>
    </row>
    <row r="216" spans="1:12" x14ac:dyDescent="0.3">
      <c r="A216" s="34" t="s">
        <v>1229</v>
      </c>
      <c r="B216" s="34" t="s">
        <v>478</v>
      </c>
      <c r="C216" s="34">
        <v>4</v>
      </c>
      <c r="D216" s="34">
        <v>18757</v>
      </c>
      <c r="E216" s="15" t="s">
        <v>908</v>
      </c>
      <c r="F216" s="34" t="s">
        <v>1230</v>
      </c>
      <c r="G216" s="34" t="s">
        <v>753</v>
      </c>
      <c r="H216" s="34" t="s">
        <v>754</v>
      </c>
      <c r="I216" s="34" t="s">
        <v>384</v>
      </c>
      <c r="J216" s="34" t="s">
        <v>444</v>
      </c>
      <c r="K216" s="34" t="s">
        <v>471</v>
      </c>
      <c r="L216" s="34">
        <v>75028</v>
      </c>
    </row>
    <row r="217" spans="1:12" x14ac:dyDescent="0.3">
      <c r="A217" s="34" t="s">
        <v>1231</v>
      </c>
      <c r="B217" s="34" t="s">
        <v>478</v>
      </c>
      <c r="C217" s="34">
        <v>6</v>
      </c>
      <c r="D217" s="34">
        <v>2833</v>
      </c>
      <c r="E217" s="15" t="s">
        <v>645</v>
      </c>
      <c r="F217" s="34" t="s">
        <v>1232</v>
      </c>
      <c r="G217" s="34" t="s">
        <v>522</v>
      </c>
      <c r="H217" s="34" t="s">
        <v>499</v>
      </c>
      <c r="I217" s="34" t="s">
        <v>384</v>
      </c>
      <c r="J217" s="34" t="s">
        <v>444</v>
      </c>
      <c r="K217" s="34" t="s">
        <v>445</v>
      </c>
      <c r="L217" s="34">
        <v>16998</v>
      </c>
    </row>
    <row r="218" spans="1:12" x14ac:dyDescent="0.3">
      <c r="A218" s="34" t="s">
        <v>1233</v>
      </c>
      <c r="B218" s="34" t="s">
        <v>524</v>
      </c>
      <c r="C218" s="34">
        <v>7</v>
      </c>
      <c r="D218" s="34">
        <v>16074</v>
      </c>
      <c r="E218" s="15" t="s">
        <v>1234</v>
      </c>
      <c r="F218" s="34" t="s">
        <v>1235</v>
      </c>
      <c r="G218" s="34" t="s">
        <v>1236</v>
      </c>
      <c r="H218" s="34" t="s">
        <v>651</v>
      </c>
      <c r="I218" s="34" t="s">
        <v>384</v>
      </c>
      <c r="J218" s="34" t="s">
        <v>457</v>
      </c>
      <c r="K218" s="34" t="s">
        <v>471</v>
      </c>
      <c r="L218" s="34">
        <v>112518</v>
      </c>
    </row>
    <row r="219" spans="1:12" x14ac:dyDescent="0.3">
      <c r="A219" s="34" t="s">
        <v>1237</v>
      </c>
      <c r="B219" s="34" t="s">
        <v>459</v>
      </c>
      <c r="C219" s="34">
        <v>4</v>
      </c>
      <c r="D219" s="34">
        <v>4073</v>
      </c>
      <c r="E219" s="15" t="s">
        <v>794</v>
      </c>
      <c r="F219" s="34" t="s">
        <v>1238</v>
      </c>
      <c r="G219" s="34" t="s">
        <v>1239</v>
      </c>
      <c r="H219" s="34" t="s">
        <v>443</v>
      </c>
      <c r="I219" s="34" t="s">
        <v>384</v>
      </c>
      <c r="J219" s="34" t="s">
        <v>470</v>
      </c>
      <c r="K219" s="34" t="s">
        <v>445</v>
      </c>
      <c r="L219" s="34">
        <v>16292</v>
      </c>
    </row>
    <row r="220" spans="1:12" x14ac:dyDescent="0.3">
      <c r="A220" s="34" t="s">
        <v>1240</v>
      </c>
      <c r="B220" s="34" t="s">
        <v>459</v>
      </c>
      <c r="C220" s="34">
        <v>3</v>
      </c>
      <c r="D220" s="34">
        <v>14236</v>
      </c>
      <c r="E220" s="15" t="s">
        <v>1241</v>
      </c>
      <c r="F220" s="34" t="s">
        <v>1242</v>
      </c>
      <c r="G220" s="34" t="s">
        <v>1243</v>
      </c>
      <c r="H220" s="34" t="s">
        <v>538</v>
      </c>
      <c r="I220" s="34" t="s">
        <v>384</v>
      </c>
      <c r="J220" s="34" t="s">
        <v>457</v>
      </c>
      <c r="K220" s="34" t="s">
        <v>178</v>
      </c>
      <c r="L220" s="34">
        <v>42708</v>
      </c>
    </row>
    <row r="221" spans="1:12" x14ac:dyDescent="0.3">
      <c r="A221" s="34" t="s">
        <v>1244</v>
      </c>
      <c r="B221" s="34" t="s">
        <v>510</v>
      </c>
      <c r="C221" s="34">
        <v>9</v>
      </c>
      <c r="D221" s="34">
        <v>8216</v>
      </c>
      <c r="E221" s="15" t="s">
        <v>1245</v>
      </c>
      <c r="F221" s="34" t="s">
        <v>1246</v>
      </c>
      <c r="G221" s="34" t="s">
        <v>1061</v>
      </c>
      <c r="H221" s="34" t="s">
        <v>710</v>
      </c>
      <c r="I221" s="34" t="s">
        <v>384</v>
      </c>
      <c r="J221" s="34" t="s">
        <v>470</v>
      </c>
      <c r="K221" s="34" t="s">
        <v>489</v>
      </c>
      <c r="L221" s="34">
        <v>73944</v>
      </c>
    </row>
    <row r="222" spans="1:12" x14ac:dyDescent="0.3">
      <c r="A222" s="34" t="s">
        <v>1247</v>
      </c>
      <c r="B222" s="34" t="s">
        <v>465</v>
      </c>
      <c r="C222" s="34">
        <v>2</v>
      </c>
      <c r="D222" s="34">
        <v>16860</v>
      </c>
      <c r="E222" s="15" t="s">
        <v>1248</v>
      </c>
      <c r="F222" s="34" t="s">
        <v>1249</v>
      </c>
      <c r="G222" s="34" t="s">
        <v>1250</v>
      </c>
      <c r="H222" s="34" t="s">
        <v>639</v>
      </c>
      <c r="I222" s="34" t="s">
        <v>384</v>
      </c>
      <c r="J222" s="34" t="s">
        <v>457</v>
      </c>
      <c r="K222" s="34" t="s">
        <v>445</v>
      </c>
      <c r="L222" s="34">
        <v>33720</v>
      </c>
    </row>
    <row r="223" spans="1:12" x14ac:dyDescent="0.3">
      <c r="A223" s="34" t="s">
        <v>1251</v>
      </c>
      <c r="B223" s="34" t="s">
        <v>524</v>
      </c>
      <c r="C223" s="34">
        <v>5</v>
      </c>
      <c r="D223" s="34">
        <v>4968</v>
      </c>
      <c r="E223" s="15" t="s">
        <v>1252</v>
      </c>
      <c r="F223" s="34" t="s">
        <v>1253</v>
      </c>
      <c r="G223" s="34" t="s">
        <v>1254</v>
      </c>
      <c r="H223" s="34" t="s">
        <v>595</v>
      </c>
      <c r="I223" s="34" t="s">
        <v>384</v>
      </c>
      <c r="J223" s="34" t="s">
        <v>444</v>
      </c>
      <c r="K223" s="34" t="s">
        <v>471</v>
      </c>
      <c r="L223" s="34">
        <v>24840</v>
      </c>
    </row>
    <row r="224" spans="1:12" x14ac:dyDescent="0.3">
      <c r="A224" s="34" t="s">
        <v>1255</v>
      </c>
      <c r="B224" s="34" t="s">
        <v>459</v>
      </c>
      <c r="C224" s="34">
        <v>1</v>
      </c>
      <c r="D224" s="34">
        <v>14435</v>
      </c>
      <c r="E224" s="15" t="s">
        <v>1256</v>
      </c>
      <c r="F224" s="34" t="s">
        <v>1257</v>
      </c>
      <c r="G224" s="34" t="s">
        <v>1258</v>
      </c>
      <c r="H224" s="34" t="s">
        <v>499</v>
      </c>
      <c r="I224" s="34" t="s">
        <v>384</v>
      </c>
      <c r="J224" s="34" t="s">
        <v>444</v>
      </c>
      <c r="K224" s="34" t="s">
        <v>471</v>
      </c>
      <c r="L224" s="34">
        <v>14435</v>
      </c>
    </row>
    <row r="225" spans="1:12" x14ac:dyDescent="0.3">
      <c r="A225" s="34" t="s">
        <v>1259</v>
      </c>
      <c r="B225" s="34" t="s">
        <v>510</v>
      </c>
      <c r="C225" s="34">
        <v>9</v>
      </c>
      <c r="D225" s="34">
        <v>19332</v>
      </c>
      <c r="E225" s="15" t="s">
        <v>649</v>
      </c>
      <c r="F225" s="34" t="s">
        <v>1260</v>
      </c>
      <c r="G225" s="34" t="s">
        <v>1261</v>
      </c>
      <c r="H225" s="34" t="s">
        <v>538</v>
      </c>
      <c r="I225" s="34" t="s">
        <v>384</v>
      </c>
      <c r="J225" s="34" t="s">
        <v>457</v>
      </c>
      <c r="K225" s="34" t="s">
        <v>471</v>
      </c>
      <c r="L225" s="34">
        <v>173988</v>
      </c>
    </row>
    <row r="226" spans="1:12" x14ac:dyDescent="0.3">
      <c r="A226" s="34" t="s">
        <v>1262</v>
      </c>
      <c r="B226" s="34" t="s">
        <v>484</v>
      </c>
      <c r="C226" s="34">
        <v>4</v>
      </c>
      <c r="D226" s="34">
        <v>17452</v>
      </c>
      <c r="E226" s="15" t="s">
        <v>1263</v>
      </c>
      <c r="F226" s="34" t="s">
        <v>1264</v>
      </c>
      <c r="G226" s="34" t="s">
        <v>1265</v>
      </c>
      <c r="H226" s="34" t="s">
        <v>451</v>
      </c>
      <c r="I226" s="34" t="s">
        <v>384</v>
      </c>
      <c r="J226" s="34" t="s">
        <v>457</v>
      </c>
      <c r="K226" s="34" t="s">
        <v>533</v>
      </c>
      <c r="L226" s="34">
        <v>69808</v>
      </c>
    </row>
    <row r="227" spans="1:12" x14ac:dyDescent="0.3">
      <c r="A227" s="34" t="s">
        <v>1266</v>
      </c>
      <c r="B227" s="34" t="s">
        <v>459</v>
      </c>
      <c r="C227" s="34">
        <v>6</v>
      </c>
      <c r="D227" s="34">
        <v>7347</v>
      </c>
      <c r="E227" s="15" t="s">
        <v>496</v>
      </c>
      <c r="F227" s="34" t="s">
        <v>1267</v>
      </c>
      <c r="G227" s="34" t="s">
        <v>1025</v>
      </c>
      <c r="H227" s="34" t="s">
        <v>565</v>
      </c>
      <c r="I227" s="34" t="s">
        <v>384</v>
      </c>
      <c r="J227" s="34" t="s">
        <v>470</v>
      </c>
      <c r="K227" s="34" t="s">
        <v>445</v>
      </c>
      <c r="L227" s="34">
        <v>44082</v>
      </c>
    </row>
    <row r="228" spans="1:12" x14ac:dyDescent="0.3">
      <c r="A228" s="34" t="s">
        <v>1268</v>
      </c>
      <c r="B228" s="34" t="s">
        <v>478</v>
      </c>
      <c r="C228" s="34">
        <v>6</v>
      </c>
      <c r="D228" s="34">
        <v>14323</v>
      </c>
      <c r="E228" s="15" t="s">
        <v>1269</v>
      </c>
      <c r="F228" s="34" t="s">
        <v>1270</v>
      </c>
      <c r="G228" s="34" t="s">
        <v>1271</v>
      </c>
      <c r="H228" s="34" t="s">
        <v>528</v>
      </c>
      <c r="I228" s="34" t="s">
        <v>384</v>
      </c>
      <c r="J228" s="34" t="s">
        <v>444</v>
      </c>
      <c r="K228" s="34" t="s">
        <v>178</v>
      </c>
      <c r="L228" s="34">
        <v>85938</v>
      </c>
    </row>
    <row r="229" spans="1:12" x14ac:dyDescent="0.3">
      <c r="A229" s="34" t="s">
        <v>1272</v>
      </c>
      <c r="B229" s="34" t="s">
        <v>510</v>
      </c>
      <c r="C229" s="34">
        <v>2</v>
      </c>
      <c r="D229" s="34">
        <v>4257</v>
      </c>
      <c r="E229" s="15" t="s">
        <v>1273</v>
      </c>
      <c r="F229" s="34" t="s">
        <v>1274</v>
      </c>
      <c r="G229" s="34" t="s">
        <v>800</v>
      </c>
      <c r="H229" s="34" t="s">
        <v>595</v>
      </c>
      <c r="I229" s="34" t="s">
        <v>384</v>
      </c>
      <c r="J229" s="34" t="s">
        <v>444</v>
      </c>
      <c r="K229" s="34" t="s">
        <v>471</v>
      </c>
      <c r="L229" s="34">
        <v>8514</v>
      </c>
    </row>
    <row r="230" spans="1:12" x14ac:dyDescent="0.3">
      <c r="A230" s="34" t="s">
        <v>1275</v>
      </c>
      <c r="B230" s="34" t="s">
        <v>510</v>
      </c>
      <c r="C230" s="34">
        <v>8</v>
      </c>
      <c r="D230" s="34">
        <v>3175</v>
      </c>
      <c r="E230" s="15" t="s">
        <v>1276</v>
      </c>
      <c r="F230" s="34" t="s">
        <v>1277</v>
      </c>
      <c r="G230" s="34" t="s">
        <v>785</v>
      </c>
      <c r="H230" s="34" t="s">
        <v>565</v>
      </c>
      <c r="I230" s="34" t="s">
        <v>384</v>
      </c>
      <c r="J230" s="34" t="s">
        <v>444</v>
      </c>
      <c r="K230" s="34" t="s">
        <v>533</v>
      </c>
      <c r="L230" s="34">
        <v>25400</v>
      </c>
    </row>
    <row r="231" spans="1:12" x14ac:dyDescent="0.3">
      <c r="A231" s="34" t="s">
        <v>1278</v>
      </c>
      <c r="B231" s="34" t="s">
        <v>478</v>
      </c>
      <c r="C231" s="34">
        <v>9</v>
      </c>
      <c r="D231" s="34">
        <v>12301</v>
      </c>
      <c r="E231" s="15" t="s">
        <v>1279</v>
      </c>
      <c r="F231" s="34" t="s">
        <v>1280</v>
      </c>
      <c r="G231" s="34" t="s">
        <v>1281</v>
      </c>
      <c r="H231" s="34" t="s">
        <v>451</v>
      </c>
      <c r="I231" s="34" t="s">
        <v>384</v>
      </c>
      <c r="J231" s="34" t="s">
        <v>470</v>
      </c>
      <c r="K231" s="34" t="s">
        <v>533</v>
      </c>
      <c r="L231" s="34">
        <v>110709</v>
      </c>
    </row>
    <row r="232" spans="1:12" x14ac:dyDescent="0.3">
      <c r="A232" s="34" t="s">
        <v>1282</v>
      </c>
      <c r="B232" s="34" t="s">
        <v>495</v>
      </c>
      <c r="C232" s="34">
        <v>7</v>
      </c>
      <c r="D232" s="34">
        <v>19589</v>
      </c>
      <c r="E232" s="15" t="s">
        <v>936</v>
      </c>
      <c r="F232" s="34" t="s">
        <v>1283</v>
      </c>
      <c r="G232" s="34" t="s">
        <v>906</v>
      </c>
      <c r="H232" s="34" t="s">
        <v>504</v>
      </c>
      <c r="I232" s="34" t="s">
        <v>384</v>
      </c>
      <c r="J232" s="34" t="s">
        <v>444</v>
      </c>
      <c r="K232" s="34" t="s">
        <v>533</v>
      </c>
      <c r="L232" s="34">
        <v>137123</v>
      </c>
    </row>
    <row r="233" spans="1:12" x14ac:dyDescent="0.3">
      <c r="A233" s="34" t="s">
        <v>1284</v>
      </c>
      <c r="B233" s="34" t="s">
        <v>447</v>
      </c>
      <c r="C233" s="34">
        <v>5</v>
      </c>
      <c r="D233" s="34">
        <v>7549</v>
      </c>
      <c r="E233" s="15" t="s">
        <v>620</v>
      </c>
      <c r="F233" s="34" t="s">
        <v>1285</v>
      </c>
      <c r="G233" s="34" t="s">
        <v>673</v>
      </c>
      <c r="H233" s="34" t="s">
        <v>451</v>
      </c>
      <c r="I233" s="34" t="s">
        <v>384</v>
      </c>
      <c r="J233" s="34" t="s">
        <v>470</v>
      </c>
      <c r="K233" s="34" t="s">
        <v>178</v>
      </c>
      <c r="L233" s="34">
        <v>37745</v>
      </c>
    </row>
    <row r="234" spans="1:12" x14ac:dyDescent="0.3">
      <c r="A234" s="34" t="s">
        <v>1286</v>
      </c>
      <c r="B234" s="34" t="s">
        <v>484</v>
      </c>
      <c r="C234" s="34">
        <v>8</v>
      </c>
      <c r="D234" s="34">
        <v>12350</v>
      </c>
      <c r="E234" s="15" t="s">
        <v>1287</v>
      </c>
      <c r="F234" s="34" t="s">
        <v>1288</v>
      </c>
      <c r="G234" s="34" t="s">
        <v>1289</v>
      </c>
      <c r="H234" s="34" t="s">
        <v>639</v>
      </c>
      <c r="I234" s="34" t="s">
        <v>384</v>
      </c>
      <c r="J234" s="34" t="s">
        <v>444</v>
      </c>
      <c r="K234" s="34" t="s">
        <v>533</v>
      </c>
      <c r="L234" s="34">
        <v>98800</v>
      </c>
    </row>
    <row r="235" spans="1:12" x14ac:dyDescent="0.3">
      <c r="A235" s="34" t="s">
        <v>1290</v>
      </c>
      <c r="B235" s="34" t="s">
        <v>439</v>
      </c>
      <c r="C235" s="34">
        <v>4</v>
      </c>
      <c r="D235" s="34">
        <v>7779</v>
      </c>
      <c r="E235" s="15" t="s">
        <v>1291</v>
      </c>
      <c r="F235" s="34" t="s">
        <v>1292</v>
      </c>
      <c r="G235" s="34" t="s">
        <v>785</v>
      </c>
      <c r="H235" s="34" t="s">
        <v>560</v>
      </c>
      <c r="I235" s="34" t="s">
        <v>384</v>
      </c>
      <c r="J235" s="34" t="s">
        <v>470</v>
      </c>
      <c r="K235" s="34" t="s">
        <v>489</v>
      </c>
      <c r="L235" s="34">
        <v>31116</v>
      </c>
    </row>
    <row r="236" spans="1:12" x14ac:dyDescent="0.3">
      <c r="A236" s="34" t="s">
        <v>1293</v>
      </c>
      <c r="B236" s="34" t="s">
        <v>478</v>
      </c>
      <c r="C236" s="34">
        <v>6</v>
      </c>
      <c r="D236" s="34">
        <v>3258</v>
      </c>
      <c r="E236" s="15" t="s">
        <v>628</v>
      </c>
      <c r="F236" s="34" t="s">
        <v>1294</v>
      </c>
      <c r="G236" s="34" t="s">
        <v>1222</v>
      </c>
      <c r="H236" s="34" t="s">
        <v>746</v>
      </c>
      <c r="I236" s="34" t="s">
        <v>384</v>
      </c>
      <c r="J236" s="34" t="s">
        <v>457</v>
      </c>
      <c r="K236" s="34" t="s">
        <v>533</v>
      </c>
      <c r="L236" s="34">
        <v>19548</v>
      </c>
    </row>
    <row r="237" spans="1:12" x14ac:dyDescent="0.3">
      <c r="A237" s="34" t="s">
        <v>1295</v>
      </c>
      <c r="B237" s="34" t="s">
        <v>524</v>
      </c>
      <c r="C237" s="34">
        <v>4</v>
      </c>
      <c r="D237" s="34">
        <v>3901</v>
      </c>
      <c r="E237" s="15" t="s">
        <v>1296</v>
      </c>
      <c r="F237" s="34" t="s">
        <v>1297</v>
      </c>
      <c r="G237" s="34" t="s">
        <v>1298</v>
      </c>
      <c r="H237" s="34" t="s">
        <v>463</v>
      </c>
      <c r="I237" s="34" t="s">
        <v>384</v>
      </c>
      <c r="J237" s="34" t="s">
        <v>457</v>
      </c>
      <c r="K237" s="34" t="s">
        <v>445</v>
      </c>
      <c r="L237" s="34">
        <v>15604</v>
      </c>
    </row>
    <row r="238" spans="1:12" x14ac:dyDescent="0.3">
      <c r="A238" s="34" t="s">
        <v>1299</v>
      </c>
      <c r="B238" s="34" t="s">
        <v>495</v>
      </c>
      <c r="C238" s="34">
        <v>7</v>
      </c>
      <c r="D238" s="34">
        <v>7042</v>
      </c>
      <c r="E238" s="15" t="s">
        <v>1300</v>
      </c>
      <c r="F238" s="34" t="s">
        <v>1301</v>
      </c>
      <c r="G238" s="34" t="s">
        <v>834</v>
      </c>
      <c r="H238" s="34" t="s">
        <v>710</v>
      </c>
      <c r="I238" s="34" t="s">
        <v>384</v>
      </c>
      <c r="J238" s="34" t="s">
        <v>470</v>
      </c>
      <c r="K238" s="34" t="s">
        <v>489</v>
      </c>
      <c r="L238" s="34">
        <v>49294</v>
      </c>
    </row>
    <row r="239" spans="1:12" x14ac:dyDescent="0.3">
      <c r="A239" s="34" t="s">
        <v>1302</v>
      </c>
      <c r="B239" s="34" t="s">
        <v>524</v>
      </c>
      <c r="C239" s="34">
        <v>5</v>
      </c>
      <c r="D239" s="34">
        <v>17937</v>
      </c>
      <c r="E239" s="15" t="s">
        <v>1303</v>
      </c>
      <c r="F239" s="34" t="s">
        <v>1304</v>
      </c>
      <c r="G239" s="34" t="s">
        <v>617</v>
      </c>
      <c r="H239" s="34" t="s">
        <v>746</v>
      </c>
      <c r="I239" s="34" t="s">
        <v>384</v>
      </c>
      <c r="J239" s="34" t="s">
        <v>470</v>
      </c>
      <c r="K239" s="34" t="s">
        <v>471</v>
      </c>
      <c r="L239" s="34">
        <v>89685</v>
      </c>
    </row>
    <row r="240" spans="1:12" x14ac:dyDescent="0.3">
      <c r="A240" s="34" t="s">
        <v>1305</v>
      </c>
      <c r="B240" s="34" t="s">
        <v>484</v>
      </c>
      <c r="C240" s="34">
        <v>8</v>
      </c>
      <c r="D240" s="34">
        <v>18978</v>
      </c>
      <c r="E240" s="15" t="s">
        <v>1194</v>
      </c>
      <c r="F240" s="34" t="s">
        <v>1306</v>
      </c>
      <c r="G240" s="34" t="s">
        <v>1307</v>
      </c>
      <c r="H240" s="34" t="s">
        <v>469</v>
      </c>
      <c r="I240" s="34" t="s">
        <v>384</v>
      </c>
      <c r="J240" s="34" t="s">
        <v>457</v>
      </c>
      <c r="K240" s="34" t="s">
        <v>471</v>
      </c>
      <c r="L240" s="34">
        <v>151824</v>
      </c>
    </row>
    <row r="241" spans="1:12" x14ac:dyDescent="0.3">
      <c r="A241" s="34" t="s">
        <v>1308</v>
      </c>
      <c r="B241" s="34" t="s">
        <v>510</v>
      </c>
      <c r="C241" s="34">
        <v>4</v>
      </c>
      <c r="D241" s="34">
        <v>19870</v>
      </c>
      <c r="E241" s="15" t="s">
        <v>1309</v>
      </c>
      <c r="F241" s="34" t="s">
        <v>1310</v>
      </c>
      <c r="G241" s="34" t="s">
        <v>1311</v>
      </c>
      <c r="H241" s="34" t="s">
        <v>488</v>
      </c>
      <c r="I241" s="34" t="s">
        <v>384</v>
      </c>
      <c r="J241" s="34" t="s">
        <v>457</v>
      </c>
      <c r="K241" s="34" t="s">
        <v>489</v>
      </c>
      <c r="L241" s="34">
        <v>79480</v>
      </c>
    </row>
    <row r="242" spans="1:12" x14ac:dyDescent="0.3">
      <c r="A242" s="34" t="s">
        <v>1312</v>
      </c>
      <c r="B242" s="34" t="s">
        <v>439</v>
      </c>
      <c r="C242" s="34">
        <v>1</v>
      </c>
      <c r="D242" s="34">
        <v>2101</v>
      </c>
      <c r="E242" s="15" t="s">
        <v>1313</v>
      </c>
      <c r="F242" s="34" t="s">
        <v>1314</v>
      </c>
      <c r="G242" s="34" t="s">
        <v>634</v>
      </c>
      <c r="H242" s="34" t="s">
        <v>651</v>
      </c>
      <c r="I242" s="34" t="s">
        <v>384</v>
      </c>
      <c r="J242" s="34" t="s">
        <v>470</v>
      </c>
      <c r="K242" s="34" t="s">
        <v>533</v>
      </c>
      <c r="L242" s="34">
        <v>2101</v>
      </c>
    </row>
    <row r="243" spans="1:12" x14ac:dyDescent="0.3">
      <c r="A243" s="34" t="s">
        <v>1315</v>
      </c>
      <c r="B243" s="34" t="s">
        <v>484</v>
      </c>
      <c r="C243" s="34">
        <v>6</v>
      </c>
      <c r="D243" s="34">
        <v>16920</v>
      </c>
      <c r="E243" s="15" t="s">
        <v>947</v>
      </c>
      <c r="F243" s="34" t="s">
        <v>1316</v>
      </c>
      <c r="G243" s="34" t="s">
        <v>1317</v>
      </c>
      <c r="H243" s="34" t="s">
        <v>443</v>
      </c>
      <c r="I243" s="34" t="s">
        <v>384</v>
      </c>
      <c r="J243" s="34" t="s">
        <v>470</v>
      </c>
      <c r="K243" s="34" t="s">
        <v>489</v>
      </c>
      <c r="L243" s="34">
        <v>101520</v>
      </c>
    </row>
    <row r="244" spans="1:12" x14ac:dyDescent="0.3">
      <c r="A244" s="34" t="s">
        <v>1318</v>
      </c>
      <c r="B244" s="34" t="s">
        <v>439</v>
      </c>
      <c r="C244" s="34">
        <v>4</v>
      </c>
      <c r="D244" s="34">
        <v>8834</v>
      </c>
      <c r="E244" s="15" t="s">
        <v>671</v>
      </c>
      <c r="F244" s="34" t="s">
        <v>1319</v>
      </c>
      <c r="G244" s="34" t="s">
        <v>1320</v>
      </c>
      <c r="H244" s="34" t="s">
        <v>499</v>
      </c>
      <c r="I244" s="34" t="s">
        <v>384</v>
      </c>
      <c r="J244" s="34" t="s">
        <v>444</v>
      </c>
      <c r="K244" s="34" t="s">
        <v>489</v>
      </c>
      <c r="L244" s="34">
        <v>35336</v>
      </c>
    </row>
    <row r="245" spans="1:12" x14ac:dyDescent="0.3">
      <c r="A245" s="34" t="s">
        <v>1321</v>
      </c>
      <c r="B245" s="34" t="s">
        <v>495</v>
      </c>
      <c r="C245" s="34">
        <v>8</v>
      </c>
      <c r="D245" s="34">
        <v>12274</v>
      </c>
      <c r="E245" s="15" t="s">
        <v>588</v>
      </c>
      <c r="F245" s="34" t="s">
        <v>1322</v>
      </c>
      <c r="G245" s="34" t="s">
        <v>1323</v>
      </c>
      <c r="H245" s="34" t="s">
        <v>618</v>
      </c>
      <c r="I245" s="34" t="s">
        <v>384</v>
      </c>
      <c r="J245" s="34" t="s">
        <v>444</v>
      </c>
      <c r="K245" s="34" t="s">
        <v>533</v>
      </c>
      <c r="L245" s="34">
        <v>98192</v>
      </c>
    </row>
    <row r="246" spans="1:12" x14ac:dyDescent="0.3">
      <c r="A246" s="34" t="s">
        <v>1324</v>
      </c>
      <c r="B246" s="34" t="s">
        <v>465</v>
      </c>
      <c r="C246" s="34">
        <v>6</v>
      </c>
      <c r="D246" s="34">
        <v>19370</v>
      </c>
      <c r="E246" s="15" t="s">
        <v>1325</v>
      </c>
      <c r="F246" s="34" t="s">
        <v>1326</v>
      </c>
      <c r="G246" s="34" t="s">
        <v>669</v>
      </c>
      <c r="H246" s="34" t="s">
        <v>565</v>
      </c>
      <c r="I246" s="34" t="s">
        <v>384</v>
      </c>
      <c r="J246" s="34" t="s">
        <v>457</v>
      </c>
      <c r="K246" s="34" t="s">
        <v>445</v>
      </c>
      <c r="L246" s="34">
        <v>116220</v>
      </c>
    </row>
    <row r="247" spans="1:12" x14ac:dyDescent="0.3">
      <c r="A247" s="34" t="s">
        <v>1327</v>
      </c>
      <c r="B247" s="34" t="s">
        <v>506</v>
      </c>
      <c r="C247" s="34">
        <v>6</v>
      </c>
      <c r="D247" s="34">
        <v>10715</v>
      </c>
      <c r="E247" s="15" t="s">
        <v>540</v>
      </c>
      <c r="F247" s="34" t="s">
        <v>1328</v>
      </c>
      <c r="G247" s="34" t="s">
        <v>1329</v>
      </c>
      <c r="H247" s="34" t="s">
        <v>456</v>
      </c>
      <c r="I247" s="34" t="s">
        <v>384</v>
      </c>
      <c r="J247" s="34" t="s">
        <v>457</v>
      </c>
      <c r="K247" s="34" t="s">
        <v>445</v>
      </c>
      <c r="L247" s="34">
        <v>64290</v>
      </c>
    </row>
    <row r="248" spans="1:12" x14ac:dyDescent="0.3">
      <c r="A248" s="34" t="s">
        <v>1330</v>
      </c>
      <c r="B248" s="34" t="s">
        <v>510</v>
      </c>
      <c r="C248" s="34">
        <v>9</v>
      </c>
      <c r="D248" s="34">
        <v>5211</v>
      </c>
      <c r="E248" s="15" t="s">
        <v>760</v>
      </c>
      <c r="F248" s="34" t="s">
        <v>1331</v>
      </c>
      <c r="G248" s="34" t="s">
        <v>1332</v>
      </c>
      <c r="H248" s="34" t="s">
        <v>639</v>
      </c>
      <c r="I248" s="34" t="s">
        <v>384</v>
      </c>
      <c r="J248" s="34" t="s">
        <v>470</v>
      </c>
      <c r="K248" s="34" t="s">
        <v>489</v>
      </c>
      <c r="L248" s="34">
        <v>46899</v>
      </c>
    </row>
    <row r="249" spans="1:12" x14ac:dyDescent="0.3">
      <c r="A249" s="34" t="s">
        <v>1333</v>
      </c>
      <c r="B249" s="34" t="s">
        <v>459</v>
      </c>
      <c r="C249" s="34">
        <v>1</v>
      </c>
      <c r="D249" s="34">
        <v>12600</v>
      </c>
      <c r="E249" s="15" t="s">
        <v>1067</v>
      </c>
      <c r="F249" s="34" t="s">
        <v>1334</v>
      </c>
      <c r="G249" s="34" t="s">
        <v>924</v>
      </c>
      <c r="H249" s="34" t="s">
        <v>504</v>
      </c>
      <c r="I249" s="34" t="s">
        <v>384</v>
      </c>
      <c r="J249" s="34" t="s">
        <v>457</v>
      </c>
      <c r="K249" s="34" t="s">
        <v>178</v>
      </c>
      <c r="L249" s="34">
        <v>12600</v>
      </c>
    </row>
    <row r="250" spans="1:12" x14ac:dyDescent="0.3">
      <c r="A250" s="34" t="s">
        <v>1335</v>
      </c>
      <c r="B250" s="34" t="s">
        <v>484</v>
      </c>
      <c r="C250" s="34">
        <v>9</v>
      </c>
      <c r="D250" s="34">
        <v>8564</v>
      </c>
      <c r="E250" s="15" t="s">
        <v>904</v>
      </c>
      <c r="F250" s="34" t="s">
        <v>1336</v>
      </c>
      <c r="G250" s="34" t="s">
        <v>1029</v>
      </c>
      <c r="H250" s="34" t="s">
        <v>694</v>
      </c>
      <c r="I250" s="34" t="s">
        <v>384</v>
      </c>
      <c r="J250" s="34" t="s">
        <v>470</v>
      </c>
      <c r="K250" s="34" t="s">
        <v>471</v>
      </c>
      <c r="L250" s="34">
        <v>77076</v>
      </c>
    </row>
    <row r="251" spans="1:12" x14ac:dyDescent="0.3">
      <c r="A251" s="34" t="s">
        <v>1337</v>
      </c>
      <c r="B251" s="34" t="s">
        <v>484</v>
      </c>
      <c r="C251" s="34">
        <v>4</v>
      </c>
      <c r="D251" s="34">
        <v>7936</v>
      </c>
      <c r="E251" s="15" t="s">
        <v>575</v>
      </c>
      <c r="F251" s="34" t="s">
        <v>1338</v>
      </c>
      <c r="G251" s="34" t="s">
        <v>1339</v>
      </c>
      <c r="H251" s="34" t="s">
        <v>710</v>
      </c>
      <c r="I251" s="34" t="s">
        <v>384</v>
      </c>
      <c r="J251" s="34" t="s">
        <v>444</v>
      </c>
      <c r="K251" s="34" t="s">
        <v>489</v>
      </c>
      <c r="L251" s="34">
        <v>31744</v>
      </c>
    </row>
    <row r="252" spans="1:12" x14ac:dyDescent="0.3">
      <c r="A252" s="34" t="s">
        <v>1340</v>
      </c>
      <c r="B252" s="34" t="s">
        <v>495</v>
      </c>
      <c r="C252" s="34">
        <v>7</v>
      </c>
      <c r="D252" s="34">
        <v>16941</v>
      </c>
      <c r="E252" s="15" t="s">
        <v>1341</v>
      </c>
      <c r="F252" s="34" t="s">
        <v>1342</v>
      </c>
      <c r="G252" s="34" t="s">
        <v>1343</v>
      </c>
      <c r="H252" s="34" t="s">
        <v>463</v>
      </c>
      <c r="I252" s="34" t="s">
        <v>384</v>
      </c>
      <c r="J252" s="34" t="s">
        <v>444</v>
      </c>
      <c r="K252" s="34" t="s">
        <v>445</v>
      </c>
      <c r="L252" s="34">
        <v>118587</v>
      </c>
    </row>
    <row r="253" spans="1:12" x14ac:dyDescent="0.3">
      <c r="A253" s="34" t="s">
        <v>1344</v>
      </c>
      <c r="B253" s="34" t="s">
        <v>478</v>
      </c>
      <c r="C253" s="34">
        <v>4</v>
      </c>
      <c r="D253" s="34">
        <v>7666</v>
      </c>
      <c r="E253" s="15" t="s">
        <v>883</v>
      </c>
      <c r="F253" s="34" t="s">
        <v>1345</v>
      </c>
      <c r="G253" s="34" t="s">
        <v>1346</v>
      </c>
      <c r="H253" s="34" t="s">
        <v>488</v>
      </c>
      <c r="I253" s="34" t="s">
        <v>384</v>
      </c>
      <c r="J253" s="34" t="s">
        <v>444</v>
      </c>
      <c r="K253" s="34" t="s">
        <v>533</v>
      </c>
      <c r="L253" s="34">
        <v>30664</v>
      </c>
    </row>
    <row r="254" spans="1:12" x14ac:dyDescent="0.3">
      <c r="A254" s="34" t="s">
        <v>1347</v>
      </c>
      <c r="B254" s="34" t="s">
        <v>484</v>
      </c>
      <c r="C254" s="34">
        <v>3</v>
      </c>
      <c r="D254" s="34">
        <v>15002</v>
      </c>
      <c r="E254" s="15" t="s">
        <v>1348</v>
      </c>
      <c r="F254" s="34" t="s">
        <v>1349</v>
      </c>
      <c r="G254" s="34" t="s">
        <v>1350</v>
      </c>
      <c r="H254" s="34" t="s">
        <v>682</v>
      </c>
      <c r="I254" s="34" t="s">
        <v>384</v>
      </c>
      <c r="J254" s="34" t="s">
        <v>470</v>
      </c>
      <c r="K254" s="34" t="s">
        <v>533</v>
      </c>
      <c r="L254" s="34">
        <v>45006</v>
      </c>
    </row>
    <row r="255" spans="1:12" x14ac:dyDescent="0.3">
      <c r="A255" s="34" t="s">
        <v>1351</v>
      </c>
      <c r="B255" s="34" t="s">
        <v>510</v>
      </c>
      <c r="C255" s="34">
        <v>8</v>
      </c>
      <c r="D255" s="34">
        <v>5532</v>
      </c>
      <c r="E255" s="15" t="s">
        <v>632</v>
      </c>
      <c r="F255" s="34" t="s">
        <v>1352</v>
      </c>
      <c r="G255" s="34" t="s">
        <v>1353</v>
      </c>
      <c r="H255" s="34" t="s">
        <v>451</v>
      </c>
      <c r="I255" s="34" t="s">
        <v>384</v>
      </c>
      <c r="J255" s="34" t="s">
        <v>470</v>
      </c>
      <c r="K255" s="34" t="s">
        <v>178</v>
      </c>
      <c r="L255" s="34">
        <v>44256</v>
      </c>
    </row>
    <row r="256" spans="1:12" x14ac:dyDescent="0.3">
      <c r="A256" s="34" t="s">
        <v>1354</v>
      </c>
      <c r="B256" s="34" t="s">
        <v>439</v>
      </c>
      <c r="C256" s="34">
        <v>1</v>
      </c>
      <c r="D256" s="34">
        <v>4801</v>
      </c>
      <c r="E256" s="15" t="s">
        <v>1355</v>
      </c>
      <c r="F256" s="34" t="s">
        <v>1356</v>
      </c>
      <c r="G256" s="34" t="s">
        <v>569</v>
      </c>
      <c r="H256" s="34" t="s">
        <v>651</v>
      </c>
      <c r="I256" s="34" t="s">
        <v>384</v>
      </c>
      <c r="J256" s="34" t="s">
        <v>457</v>
      </c>
      <c r="K256" s="34" t="s">
        <v>489</v>
      </c>
      <c r="L256" s="34">
        <v>4801</v>
      </c>
    </row>
    <row r="257" spans="1:12" x14ac:dyDescent="0.3">
      <c r="A257" s="34" t="s">
        <v>1357</v>
      </c>
      <c r="B257" s="34" t="s">
        <v>524</v>
      </c>
      <c r="C257" s="34">
        <v>4</v>
      </c>
      <c r="D257" s="34">
        <v>9463</v>
      </c>
      <c r="E257" s="15" t="s">
        <v>1164</v>
      </c>
      <c r="F257" s="34" t="s">
        <v>1358</v>
      </c>
      <c r="G257" s="34" t="s">
        <v>875</v>
      </c>
      <c r="H257" s="34" t="s">
        <v>476</v>
      </c>
      <c r="I257" s="34" t="s">
        <v>384</v>
      </c>
      <c r="J257" s="34" t="s">
        <v>457</v>
      </c>
      <c r="K257" s="34" t="s">
        <v>533</v>
      </c>
      <c r="L257" s="34">
        <v>37852</v>
      </c>
    </row>
    <row r="258" spans="1:12" x14ac:dyDescent="0.3">
      <c r="A258" s="34" t="s">
        <v>1359</v>
      </c>
      <c r="B258" s="34" t="s">
        <v>524</v>
      </c>
      <c r="C258" s="34">
        <v>1</v>
      </c>
      <c r="D258" s="34">
        <v>7103</v>
      </c>
      <c r="E258" s="15" t="s">
        <v>1360</v>
      </c>
      <c r="F258" s="34" t="s">
        <v>1361</v>
      </c>
      <c r="G258" s="34" t="s">
        <v>1250</v>
      </c>
      <c r="H258" s="34" t="s">
        <v>710</v>
      </c>
      <c r="I258" s="34" t="s">
        <v>384</v>
      </c>
      <c r="J258" s="34" t="s">
        <v>470</v>
      </c>
      <c r="K258" s="34" t="s">
        <v>489</v>
      </c>
      <c r="L258" s="34">
        <v>7103</v>
      </c>
    </row>
    <row r="259" spans="1:12" x14ac:dyDescent="0.3">
      <c r="A259" s="34" t="s">
        <v>1362</v>
      </c>
      <c r="B259" s="34" t="s">
        <v>459</v>
      </c>
      <c r="C259" s="34">
        <v>4</v>
      </c>
      <c r="D259" s="34">
        <v>2075</v>
      </c>
      <c r="E259" s="15" t="s">
        <v>557</v>
      </c>
      <c r="F259" s="34" t="s">
        <v>1363</v>
      </c>
      <c r="G259" s="34" t="s">
        <v>662</v>
      </c>
      <c r="H259" s="34" t="s">
        <v>456</v>
      </c>
      <c r="I259" s="34" t="s">
        <v>384</v>
      </c>
      <c r="J259" s="34" t="s">
        <v>470</v>
      </c>
      <c r="K259" s="34" t="s">
        <v>471</v>
      </c>
      <c r="L259" s="34">
        <v>8300</v>
      </c>
    </row>
    <row r="260" spans="1:12" x14ac:dyDescent="0.3">
      <c r="A260" s="34" t="s">
        <v>1364</v>
      </c>
      <c r="B260" s="34" t="s">
        <v>510</v>
      </c>
      <c r="C260" s="34">
        <v>7</v>
      </c>
      <c r="D260" s="34">
        <v>3966</v>
      </c>
      <c r="E260" s="15" t="s">
        <v>1291</v>
      </c>
      <c r="F260" s="34" t="s">
        <v>1365</v>
      </c>
      <c r="G260" s="34" t="s">
        <v>690</v>
      </c>
      <c r="H260" s="34" t="s">
        <v>499</v>
      </c>
      <c r="I260" s="34" t="s">
        <v>384</v>
      </c>
      <c r="J260" s="34" t="s">
        <v>457</v>
      </c>
      <c r="K260" s="34" t="s">
        <v>445</v>
      </c>
      <c r="L260" s="34">
        <v>27762</v>
      </c>
    </row>
    <row r="261" spans="1:12" x14ac:dyDescent="0.3">
      <c r="A261" s="34" t="s">
        <v>1366</v>
      </c>
      <c r="B261" s="34" t="s">
        <v>478</v>
      </c>
      <c r="C261" s="34">
        <v>2</v>
      </c>
      <c r="D261" s="34">
        <v>14201</v>
      </c>
      <c r="E261" s="15" t="s">
        <v>822</v>
      </c>
      <c r="F261" s="34" t="s">
        <v>1367</v>
      </c>
      <c r="G261" s="34" t="s">
        <v>573</v>
      </c>
      <c r="H261" s="34" t="s">
        <v>538</v>
      </c>
      <c r="I261" s="34" t="s">
        <v>384</v>
      </c>
      <c r="J261" s="34" t="s">
        <v>444</v>
      </c>
      <c r="K261" s="34" t="s">
        <v>445</v>
      </c>
      <c r="L261" s="34">
        <v>28402</v>
      </c>
    </row>
    <row r="262" spans="1:12" x14ac:dyDescent="0.3">
      <c r="A262" s="34" t="s">
        <v>1368</v>
      </c>
      <c r="B262" s="34" t="s">
        <v>524</v>
      </c>
      <c r="C262" s="34">
        <v>3</v>
      </c>
      <c r="D262" s="34">
        <v>6090</v>
      </c>
      <c r="E262" s="15" t="s">
        <v>828</v>
      </c>
      <c r="F262" s="34" t="s">
        <v>1369</v>
      </c>
      <c r="G262" s="34" t="s">
        <v>442</v>
      </c>
      <c r="H262" s="34" t="s">
        <v>482</v>
      </c>
      <c r="I262" s="34" t="s">
        <v>384</v>
      </c>
      <c r="J262" s="34" t="s">
        <v>444</v>
      </c>
      <c r="K262" s="34" t="s">
        <v>471</v>
      </c>
      <c r="L262" s="34">
        <v>18270</v>
      </c>
    </row>
    <row r="263" spans="1:12" x14ac:dyDescent="0.3">
      <c r="A263" s="34" t="s">
        <v>1370</v>
      </c>
      <c r="B263" s="34" t="s">
        <v>524</v>
      </c>
      <c r="C263" s="34">
        <v>5</v>
      </c>
      <c r="D263" s="34">
        <v>5715</v>
      </c>
      <c r="E263" s="15" t="s">
        <v>1371</v>
      </c>
      <c r="F263" s="34" t="s">
        <v>1372</v>
      </c>
      <c r="G263" s="34" t="s">
        <v>964</v>
      </c>
      <c r="H263" s="34" t="s">
        <v>694</v>
      </c>
      <c r="I263" s="34" t="s">
        <v>384</v>
      </c>
      <c r="J263" s="34" t="s">
        <v>444</v>
      </c>
      <c r="K263" s="34" t="s">
        <v>533</v>
      </c>
      <c r="L263" s="34">
        <v>28575</v>
      </c>
    </row>
    <row r="264" spans="1:12" x14ac:dyDescent="0.3">
      <c r="A264" s="34" t="s">
        <v>1373</v>
      </c>
      <c r="B264" s="34" t="s">
        <v>510</v>
      </c>
      <c r="C264" s="34">
        <v>2</v>
      </c>
      <c r="D264" s="34">
        <v>17679</v>
      </c>
      <c r="E264" s="15" t="s">
        <v>571</v>
      </c>
      <c r="F264" s="34" t="s">
        <v>1374</v>
      </c>
      <c r="G264" s="34" t="s">
        <v>1375</v>
      </c>
      <c r="H264" s="34" t="s">
        <v>451</v>
      </c>
      <c r="I264" s="34" t="s">
        <v>384</v>
      </c>
      <c r="J264" s="34" t="s">
        <v>444</v>
      </c>
      <c r="K264" s="34" t="s">
        <v>489</v>
      </c>
      <c r="L264" s="34">
        <v>35358</v>
      </c>
    </row>
    <row r="265" spans="1:12" x14ac:dyDescent="0.3">
      <c r="A265" s="34" t="s">
        <v>1376</v>
      </c>
      <c r="B265" s="34" t="s">
        <v>439</v>
      </c>
      <c r="C265" s="34">
        <v>4</v>
      </c>
      <c r="D265" s="34">
        <v>17168</v>
      </c>
      <c r="E265" s="15" t="s">
        <v>1377</v>
      </c>
      <c r="F265" s="34" t="s">
        <v>1378</v>
      </c>
      <c r="G265" s="34" t="s">
        <v>1379</v>
      </c>
      <c r="H265" s="34" t="s">
        <v>746</v>
      </c>
      <c r="I265" s="34" t="s">
        <v>384</v>
      </c>
      <c r="J265" s="34" t="s">
        <v>470</v>
      </c>
      <c r="K265" s="34" t="s">
        <v>471</v>
      </c>
      <c r="L265" s="34">
        <v>68672</v>
      </c>
    </row>
    <row r="266" spans="1:12" x14ac:dyDescent="0.3">
      <c r="A266" s="34" t="s">
        <v>1380</v>
      </c>
      <c r="B266" s="34" t="s">
        <v>465</v>
      </c>
      <c r="C266" s="34">
        <v>3</v>
      </c>
      <c r="D266" s="34">
        <v>9949</v>
      </c>
      <c r="E266" s="15" t="s">
        <v>1381</v>
      </c>
      <c r="F266" s="34" t="s">
        <v>1382</v>
      </c>
      <c r="G266" s="34" t="s">
        <v>643</v>
      </c>
      <c r="H266" s="34" t="s">
        <v>565</v>
      </c>
      <c r="I266" s="34" t="s">
        <v>384</v>
      </c>
      <c r="J266" s="34" t="s">
        <v>457</v>
      </c>
      <c r="K266" s="34" t="s">
        <v>445</v>
      </c>
      <c r="L266" s="34">
        <v>29847</v>
      </c>
    </row>
    <row r="267" spans="1:12" x14ac:dyDescent="0.3">
      <c r="A267" s="34" t="s">
        <v>1383</v>
      </c>
      <c r="B267" s="34" t="s">
        <v>524</v>
      </c>
      <c r="C267" s="34">
        <v>5</v>
      </c>
      <c r="D267" s="34">
        <v>5878</v>
      </c>
      <c r="E267" s="15" t="s">
        <v>571</v>
      </c>
      <c r="F267" s="34" t="s">
        <v>1384</v>
      </c>
      <c r="G267" s="34" t="s">
        <v>1236</v>
      </c>
      <c r="H267" s="34" t="s">
        <v>595</v>
      </c>
      <c r="I267" s="34" t="s">
        <v>384</v>
      </c>
      <c r="J267" s="34" t="s">
        <v>470</v>
      </c>
      <c r="K267" s="34" t="s">
        <v>471</v>
      </c>
      <c r="L267" s="34">
        <v>29390</v>
      </c>
    </row>
    <row r="268" spans="1:12" x14ac:dyDescent="0.3">
      <c r="A268" s="34" t="s">
        <v>1385</v>
      </c>
      <c r="B268" s="34" t="s">
        <v>465</v>
      </c>
      <c r="C268" s="34">
        <v>8</v>
      </c>
      <c r="D268" s="34">
        <v>6356</v>
      </c>
      <c r="E268" s="15" t="s">
        <v>1386</v>
      </c>
      <c r="F268" s="34" t="s">
        <v>1387</v>
      </c>
      <c r="G268" s="34" t="s">
        <v>455</v>
      </c>
      <c r="H268" s="34" t="s">
        <v>476</v>
      </c>
      <c r="I268" s="34" t="s">
        <v>384</v>
      </c>
      <c r="J268" s="34" t="s">
        <v>470</v>
      </c>
      <c r="K268" s="34" t="s">
        <v>445</v>
      </c>
      <c r="L268" s="34">
        <v>50848</v>
      </c>
    </row>
    <row r="269" spans="1:12" x14ac:dyDescent="0.3">
      <c r="A269" s="34" t="s">
        <v>1388</v>
      </c>
      <c r="B269" s="34" t="s">
        <v>506</v>
      </c>
      <c r="C269" s="34">
        <v>5</v>
      </c>
      <c r="D269" s="34">
        <v>16851</v>
      </c>
      <c r="E269" s="15" t="s">
        <v>1389</v>
      </c>
      <c r="F269" s="34" t="s">
        <v>1390</v>
      </c>
      <c r="G269" s="34" t="s">
        <v>1391</v>
      </c>
      <c r="H269" s="34" t="s">
        <v>578</v>
      </c>
      <c r="I269" s="34" t="s">
        <v>384</v>
      </c>
      <c r="J269" s="34" t="s">
        <v>457</v>
      </c>
      <c r="K269" s="34" t="s">
        <v>445</v>
      </c>
      <c r="L269" s="34">
        <v>84255</v>
      </c>
    </row>
    <row r="270" spans="1:12" x14ac:dyDescent="0.3">
      <c r="A270" s="34" t="s">
        <v>1392</v>
      </c>
      <c r="B270" s="34" t="s">
        <v>484</v>
      </c>
      <c r="C270" s="34">
        <v>5</v>
      </c>
      <c r="D270" s="34">
        <v>5216</v>
      </c>
      <c r="E270" s="15" t="s">
        <v>1393</v>
      </c>
      <c r="F270" s="34" t="s">
        <v>1394</v>
      </c>
      <c r="G270" s="34" t="s">
        <v>964</v>
      </c>
      <c r="H270" s="34" t="s">
        <v>639</v>
      </c>
      <c r="I270" s="34" t="s">
        <v>384</v>
      </c>
      <c r="J270" s="34" t="s">
        <v>444</v>
      </c>
      <c r="K270" s="34" t="s">
        <v>445</v>
      </c>
      <c r="L270" s="34">
        <v>26080</v>
      </c>
    </row>
    <row r="271" spans="1:12" x14ac:dyDescent="0.3">
      <c r="A271" s="34" t="s">
        <v>1395</v>
      </c>
      <c r="B271" s="34" t="s">
        <v>495</v>
      </c>
      <c r="C271" s="34">
        <v>2</v>
      </c>
      <c r="D271" s="34">
        <v>4430</v>
      </c>
      <c r="E271" s="15" t="s">
        <v>1396</v>
      </c>
      <c r="F271" s="34" t="s">
        <v>1397</v>
      </c>
      <c r="G271" s="34" t="s">
        <v>1398</v>
      </c>
      <c r="H271" s="34" t="s">
        <v>583</v>
      </c>
      <c r="I271" s="34" t="s">
        <v>384</v>
      </c>
      <c r="J271" s="34" t="s">
        <v>444</v>
      </c>
      <c r="K271" s="34" t="s">
        <v>178</v>
      </c>
      <c r="L271" s="34">
        <v>8860</v>
      </c>
    </row>
    <row r="272" spans="1:12" x14ac:dyDescent="0.3">
      <c r="A272" s="34" t="s">
        <v>1399</v>
      </c>
      <c r="B272" s="34" t="s">
        <v>495</v>
      </c>
      <c r="C272" s="34">
        <v>3</v>
      </c>
      <c r="D272" s="34">
        <v>10856</v>
      </c>
      <c r="E272" s="15" t="s">
        <v>1400</v>
      </c>
      <c r="F272" s="34" t="s">
        <v>1401</v>
      </c>
      <c r="G272" s="34" t="s">
        <v>1346</v>
      </c>
      <c r="H272" s="34" t="s">
        <v>488</v>
      </c>
      <c r="I272" s="34" t="s">
        <v>384</v>
      </c>
      <c r="J272" s="34" t="s">
        <v>457</v>
      </c>
      <c r="K272" s="34" t="s">
        <v>489</v>
      </c>
      <c r="L272" s="34">
        <v>32568</v>
      </c>
    </row>
    <row r="273" spans="1:12" x14ac:dyDescent="0.3">
      <c r="A273" s="34" t="s">
        <v>1402</v>
      </c>
      <c r="B273" s="34" t="s">
        <v>495</v>
      </c>
      <c r="C273" s="34">
        <v>8</v>
      </c>
      <c r="D273" s="34">
        <v>11483</v>
      </c>
      <c r="E273" s="15" t="s">
        <v>739</v>
      </c>
      <c r="F273" s="34" t="s">
        <v>1403</v>
      </c>
      <c r="G273" s="34" t="s">
        <v>885</v>
      </c>
      <c r="H273" s="34" t="s">
        <v>543</v>
      </c>
      <c r="I273" s="34" t="s">
        <v>384</v>
      </c>
      <c r="J273" s="34" t="s">
        <v>470</v>
      </c>
      <c r="K273" s="34" t="s">
        <v>178</v>
      </c>
      <c r="L273" s="34">
        <v>91864</v>
      </c>
    </row>
    <row r="274" spans="1:12" x14ac:dyDescent="0.3">
      <c r="A274" s="34" t="s">
        <v>1404</v>
      </c>
      <c r="B274" s="34" t="s">
        <v>447</v>
      </c>
      <c r="C274" s="34">
        <v>3</v>
      </c>
      <c r="D274" s="34">
        <v>11435</v>
      </c>
      <c r="E274" s="15" t="s">
        <v>731</v>
      </c>
      <c r="F274" s="34" t="s">
        <v>1405</v>
      </c>
      <c r="G274" s="34" t="s">
        <v>918</v>
      </c>
      <c r="H274" s="34" t="s">
        <v>538</v>
      </c>
      <c r="I274" s="34" t="s">
        <v>384</v>
      </c>
      <c r="J274" s="34" t="s">
        <v>444</v>
      </c>
      <c r="K274" s="34" t="s">
        <v>445</v>
      </c>
      <c r="L274" s="34">
        <v>34305</v>
      </c>
    </row>
    <row r="275" spans="1:12" x14ac:dyDescent="0.3">
      <c r="A275" s="34" t="s">
        <v>1406</v>
      </c>
      <c r="B275" s="34" t="s">
        <v>495</v>
      </c>
      <c r="C275" s="34">
        <v>4</v>
      </c>
      <c r="D275" s="34">
        <v>7000</v>
      </c>
      <c r="E275" s="15" t="s">
        <v>951</v>
      </c>
      <c r="F275" s="34" t="s">
        <v>1407</v>
      </c>
      <c r="G275" s="34" t="s">
        <v>677</v>
      </c>
      <c r="H275" s="34" t="s">
        <v>746</v>
      </c>
      <c r="I275" s="34" t="s">
        <v>384</v>
      </c>
      <c r="J275" s="34" t="s">
        <v>457</v>
      </c>
      <c r="K275" s="34" t="s">
        <v>471</v>
      </c>
      <c r="L275" s="34">
        <v>28000</v>
      </c>
    </row>
    <row r="276" spans="1:12" x14ac:dyDescent="0.3">
      <c r="A276" s="34" t="s">
        <v>1408</v>
      </c>
      <c r="B276" s="34" t="s">
        <v>478</v>
      </c>
      <c r="C276" s="34">
        <v>8</v>
      </c>
      <c r="D276" s="34">
        <v>8438</v>
      </c>
      <c r="E276" s="15" t="s">
        <v>1409</v>
      </c>
      <c r="F276" s="34" t="s">
        <v>1410</v>
      </c>
      <c r="G276" s="34" t="s">
        <v>1411</v>
      </c>
      <c r="H276" s="34" t="s">
        <v>514</v>
      </c>
      <c r="I276" s="34" t="s">
        <v>384</v>
      </c>
      <c r="J276" s="34" t="s">
        <v>457</v>
      </c>
      <c r="K276" s="34" t="s">
        <v>489</v>
      </c>
      <c r="L276" s="34">
        <v>67504</v>
      </c>
    </row>
    <row r="277" spans="1:12" x14ac:dyDescent="0.3">
      <c r="A277" s="34" t="s">
        <v>1412</v>
      </c>
      <c r="B277" s="34" t="s">
        <v>447</v>
      </c>
      <c r="C277" s="34">
        <v>7</v>
      </c>
      <c r="D277" s="34">
        <v>3588</v>
      </c>
      <c r="E277" s="15" t="s">
        <v>860</v>
      </c>
      <c r="F277" s="34" t="s">
        <v>1413</v>
      </c>
      <c r="G277" s="34" t="s">
        <v>1411</v>
      </c>
      <c r="H277" s="34" t="s">
        <v>538</v>
      </c>
      <c r="I277" s="34" t="s">
        <v>384</v>
      </c>
      <c r="J277" s="34" t="s">
        <v>444</v>
      </c>
      <c r="K277" s="34" t="s">
        <v>533</v>
      </c>
      <c r="L277" s="34">
        <v>25116</v>
      </c>
    </row>
    <row r="278" spans="1:12" x14ac:dyDescent="0.3">
      <c r="A278" s="34" t="s">
        <v>1414</v>
      </c>
      <c r="B278" s="34" t="s">
        <v>447</v>
      </c>
      <c r="C278" s="34">
        <v>7</v>
      </c>
      <c r="D278" s="34">
        <v>17679</v>
      </c>
      <c r="E278" s="15" t="s">
        <v>1415</v>
      </c>
      <c r="F278" s="34" t="s">
        <v>1416</v>
      </c>
      <c r="G278" s="34" t="s">
        <v>1417</v>
      </c>
      <c r="H278" s="34" t="s">
        <v>469</v>
      </c>
      <c r="I278" s="34" t="s">
        <v>384</v>
      </c>
      <c r="J278" s="34" t="s">
        <v>457</v>
      </c>
      <c r="K278" s="34" t="s">
        <v>533</v>
      </c>
      <c r="L278" s="34">
        <v>123753</v>
      </c>
    </row>
    <row r="279" spans="1:12" x14ac:dyDescent="0.3">
      <c r="A279" s="34" t="s">
        <v>1418</v>
      </c>
      <c r="B279" s="34" t="s">
        <v>478</v>
      </c>
      <c r="C279" s="34">
        <v>3</v>
      </c>
      <c r="D279" s="34">
        <v>13157</v>
      </c>
      <c r="E279" s="15" t="s">
        <v>1419</v>
      </c>
      <c r="F279" s="34" t="s">
        <v>1420</v>
      </c>
      <c r="G279" s="34" t="s">
        <v>1182</v>
      </c>
      <c r="H279" s="34" t="s">
        <v>443</v>
      </c>
      <c r="I279" s="34" t="s">
        <v>384</v>
      </c>
      <c r="J279" s="34" t="s">
        <v>470</v>
      </c>
      <c r="K279" s="34" t="s">
        <v>471</v>
      </c>
      <c r="L279" s="34">
        <v>39471</v>
      </c>
    </row>
    <row r="280" spans="1:12" x14ac:dyDescent="0.3">
      <c r="A280" s="34" t="s">
        <v>1421</v>
      </c>
      <c r="B280" s="34" t="s">
        <v>524</v>
      </c>
      <c r="C280" s="34">
        <v>4</v>
      </c>
      <c r="D280" s="34">
        <v>10947</v>
      </c>
      <c r="E280" s="15" t="s">
        <v>1422</v>
      </c>
      <c r="F280" s="34" t="s">
        <v>1423</v>
      </c>
      <c r="G280" s="34" t="s">
        <v>1085</v>
      </c>
      <c r="H280" s="34" t="s">
        <v>463</v>
      </c>
      <c r="I280" s="34" t="s">
        <v>384</v>
      </c>
      <c r="J280" s="34" t="s">
        <v>470</v>
      </c>
      <c r="K280" s="34" t="s">
        <v>471</v>
      </c>
      <c r="L280" s="34">
        <v>43788</v>
      </c>
    </row>
    <row r="281" spans="1:12" x14ac:dyDescent="0.3">
      <c r="A281" s="34" t="s">
        <v>1424</v>
      </c>
      <c r="B281" s="34" t="s">
        <v>506</v>
      </c>
      <c r="C281" s="34">
        <v>7</v>
      </c>
      <c r="D281" s="34">
        <v>16539</v>
      </c>
      <c r="E281" s="15" t="s">
        <v>1276</v>
      </c>
      <c r="F281" s="34" t="s">
        <v>1425</v>
      </c>
      <c r="G281" s="34" t="s">
        <v>1426</v>
      </c>
      <c r="H281" s="34" t="s">
        <v>543</v>
      </c>
      <c r="I281" s="34" t="s">
        <v>384</v>
      </c>
      <c r="J281" s="34" t="s">
        <v>457</v>
      </c>
      <c r="K281" s="34" t="s">
        <v>178</v>
      </c>
      <c r="L281" s="34">
        <v>115773</v>
      </c>
    </row>
    <row r="282" spans="1:12" x14ac:dyDescent="0.3">
      <c r="A282" s="34" t="s">
        <v>1427</v>
      </c>
      <c r="B282" s="34" t="s">
        <v>439</v>
      </c>
      <c r="C282" s="34">
        <v>1</v>
      </c>
      <c r="D282" s="34">
        <v>12975</v>
      </c>
      <c r="E282" s="15" t="s">
        <v>473</v>
      </c>
      <c r="F282" s="34" t="s">
        <v>1428</v>
      </c>
      <c r="G282" s="34" t="s">
        <v>1029</v>
      </c>
      <c r="H282" s="34" t="s">
        <v>651</v>
      </c>
      <c r="I282" s="34" t="s">
        <v>384</v>
      </c>
      <c r="J282" s="34" t="s">
        <v>444</v>
      </c>
      <c r="K282" s="34" t="s">
        <v>445</v>
      </c>
      <c r="L282" s="34">
        <v>12975</v>
      </c>
    </row>
    <row r="283" spans="1:12" x14ac:dyDescent="0.3">
      <c r="A283" s="34" t="s">
        <v>1429</v>
      </c>
      <c r="B283" s="34" t="s">
        <v>439</v>
      </c>
      <c r="C283" s="34">
        <v>9</v>
      </c>
      <c r="D283" s="34">
        <v>18694</v>
      </c>
      <c r="E283" s="15" t="s">
        <v>1227</v>
      </c>
      <c r="F283" s="34" t="s">
        <v>1430</v>
      </c>
      <c r="G283" s="34" t="s">
        <v>1431</v>
      </c>
      <c r="H283" s="34" t="s">
        <v>543</v>
      </c>
      <c r="I283" s="34" t="s">
        <v>384</v>
      </c>
      <c r="J283" s="34" t="s">
        <v>444</v>
      </c>
      <c r="K283" s="34" t="s">
        <v>471</v>
      </c>
      <c r="L283" s="34">
        <v>168246</v>
      </c>
    </row>
    <row r="284" spans="1:12" x14ac:dyDescent="0.3">
      <c r="A284" s="34" t="s">
        <v>1432</v>
      </c>
      <c r="B284" s="34" t="s">
        <v>465</v>
      </c>
      <c r="C284" s="34">
        <v>1</v>
      </c>
      <c r="D284" s="34">
        <v>18243</v>
      </c>
      <c r="E284" s="15" t="s">
        <v>636</v>
      </c>
      <c r="F284" s="34" t="s">
        <v>1433</v>
      </c>
      <c r="G284" s="34" t="s">
        <v>442</v>
      </c>
      <c r="H284" s="34" t="s">
        <v>618</v>
      </c>
      <c r="I284" s="34" t="s">
        <v>384</v>
      </c>
      <c r="J284" s="34" t="s">
        <v>444</v>
      </c>
      <c r="K284" s="34" t="s">
        <v>533</v>
      </c>
      <c r="L284" s="34">
        <v>18243</v>
      </c>
    </row>
    <row r="285" spans="1:12" x14ac:dyDescent="0.3">
      <c r="A285" s="34" t="s">
        <v>1434</v>
      </c>
      <c r="B285" s="34" t="s">
        <v>495</v>
      </c>
      <c r="C285" s="34">
        <v>8</v>
      </c>
      <c r="D285" s="34">
        <v>15747</v>
      </c>
      <c r="E285" s="15" t="s">
        <v>1224</v>
      </c>
      <c r="F285" s="34" t="s">
        <v>1435</v>
      </c>
      <c r="G285" s="34" t="s">
        <v>1436</v>
      </c>
      <c r="H285" s="34" t="s">
        <v>518</v>
      </c>
      <c r="I285" s="34" t="s">
        <v>384</v>
      </c>
      <c r="J285" s="34" t="s">
        <v>470</v>
      </c>
      <c r="K285" s="34" t="s">
        <v>533</v>
      </c>
      <c r="L285" s="34">
        <v>125976</v>
      </c>
    </row>
    <row r="286" spans="1:12" x14ac:dyDescent="0.3">
      <c r="A286" s="34" t="s">
        <v>1437</v>
      </c>
      <c r="B286" s="34" t="s">
        <v>495</v>
      </c>
      <c r="C286" s="34">
        <v>7</v>
      </c>
      <c r="D286" s="34">
        <v>17443</v>
      </c>
      <c r="E286" s="15" t="s">
        <v>947</v>
      </c>
      <c r="F286" s="34" t="s">
        <v>1438</v>
      </c>
      <c r="G286" s="34" t="s">
        <v>1145</v>
      </c>
      <c r="H286" s="34" t="s">
        <v>443</v>
      </c>
      <c r="I286" s="34" t="s">
        <v>384</v>
      </c>
      <c r="J286" s="34" t="s">
        <v>444</v>
      </c>
      <c r="K286" s="34" t="s">
        <v>489</v>
      </c>
      <c r="L286" s="34">
        <v>122101</v>
      </c>
    </row>
    <row r="287" spans="1:12" x14ac:dyDescent="0.3">
      <c r="A287" s="34" t="s">
        <v>1439</v>
      </c>
      <c r="B287" s="34" t="s">
        <v>484</v>
      </c>
      <c r="C287" s="34">
        <v>6</v>
      </c>
      <c r="D287" s="34">
        <v>18685</v>
      </c>
      <c r="E287" s="15" t="s">
        <v>940</v>
      </c>
      <c r="F287" s="34" t="s">
        <v>1440</v>
      </c>
      <c r="G287" s="34" t="s">
        <v>960</v>
      </c>
      <c r="H287" s="34" t="s">
        <v>583</v>
      </c>
      <c r="I287" s="34" t="s">
        <v>384</v>
      </c>
      <c r="J287" s="34" t="s">
        <v>444</v>
      </c>
      <c r="K287" s="34" t="s">
        <v>489</v>
      </c>
      <c r="L287" s="34">
        <v>112110</v>
      </c>
    </row>
    <row r="288" spans="1:12" x14ac:dyDescent="0.3">
      <c r="A288" s="34" t="s">
        <v>1441</v>
      </c>
      <c r="B288" s="34" t="s">
        <v>459</v>
      </c>
      <c r="C288" s="34">
        <v>7</v>
      </c>
      <c r="D288" s="34">
        <v>17727</v>
      </c>
      <c r="E288" s="15" t="s">
        <v>708</v>
      </c>
      <c r="F288" s="34" t="s">
        <v>1442</v>
      </c>
      <c r="G288" s="34" t="s">
        <v>848</v>
      </c>
      <c r="H288" s="34" t="s">
        <v>618</v>
      </c>
      <c r="I288" s="34" t="s">
        <v>384</v>
      </c>
      <c r="J288" s="34" t="s">
        <v>444</v>
      </c>
      <c r="K288" s="34" t="s">
        <v>445</v>
      </c>
      <c r="L288" s="34">
        <v>124089</v>
      </c>
    </row>
    <row r="289" spans="1:12" x14ac:dyDescent="0.3">
      <c r="A289" s="34" t="s">
        <v>1443</v>
      </c>
      <c r="B289" s="34" t="s">
        <v>459</v>
      </c>
      <c r="C289" s="34">
        <v>6</v>
      </c>
      <c r="D289" s="34">
        <v>3339</v>
      </c>
      <c r="E289" s="15" t="s">
        <v>1444</v>
      </c>
      <c r="F289" s="34" t="s">
        <v>1445</v>
      </c>
      <c r="G289" s="34" t="s">
        <v>690</v>
      </c>
      <c r="H289" s="34" t="s">
        <v>746</v>
      </c>
      <c r="I289" s="34" t="s">
        <v>384</v>
      </c>
      <c r="J289" s="34" t="s">
        <v>444</v>
      </c>
      <c r="K289" s="34" t="s">
        <v>471</v>
      </c>
      <c r="L289" s="34">
        <v>20034</v>
      </c>
    </row>
    <row r="290" spans="1:12" x14ac:dyDescent="0.3">
      <c r="A290" s="34" t="s">
        <v>1446</v>
      </c>
      <c r="B290" s="34" t="s">
        <v>478</v>
      </c>
      <c r="C290" s="34">
        <v>3</v>
      </c>
      <c r="D290" s="34">
        <v>19562</v>
      </c>
      <c r="E290" s="15" t="s">
        <v>1447</v>
      </c>
      <c r="F290" s="34" t="s">
        <v>1448</v>
      </c>
      <c r="G290" s="34" t="s">
        <v>725</v>
      </c>
      <c r="H290" s="34" t="s">
        <v>694</v>
      </c>
      <c r="I290" s="34" t="s">
        <v>384</v>
      </c>
      <c r="J290" s="34" t="s">
        <v>444</v>
      </c>
      <c r="K290" s="34" t="s">
        <v>471</v>
      </c>
      <c r="L290" s="34">
        <v>58686</v>
      </c>
    </row>
    <row r="291" spans="1:12" x14ac:dyDescent="0.3">
      <c r="A291" s="34" t="s">
        <v>1449</v>
      </c>
      <c r="B291" s="34" t="s">
        <v>465</v>
      </c>
      <c r="C291" s="34">
        <v>8</v>
      </c>
      <c r="D291" s="34">
        <v>5704</v>
      </c>
      <c r="E291" s="15" t="s">
        <v>1269</v>
      </c>
      <c r="F291" s="34" t="s">
        <v>1450</v>
      </c>
      <c r="G291" s="34" t="s">
        <v>1451</v>
      </c>
      <c r="H291" s="34" t="s">
        <v>538</v>
      </c>
      <c r="I291" s="34" t="s">
        <v>384</v>
      </c>
      <c r="J291" s="34" t="s">
        <v>444</v>
      </c>
      <c r="K291" s="34" t="s">
        <v>533</v>
      </c>
      <c r="L291" s="34">
        <v>45632</v>
      </c>
    </row>
    <row r="292" spans="1:12" x14ac:dyDescent="0.3">
      <c r="A292" s="34" t="s">
        <v>1452</v>
      </c>
      <c r="B292" s="34" t="s">
        <v>510</v>
      </c>
      <c r="C292" s="34">
        <v>2</v>
      </c>
      <c r="D292" s="34">
        <v>7774</v>
      </c>
      <c r="E292" s="15" t="s">
        <v>1252</v>
      </c>
      <c r="F292" s="34" t="s">
        <v>1453</v>
      </c>
      <c r="G292" s="34" t="s">
        <v>1350</v>
      </c>
      <c r="H292" s="34" t="s">
        <v>565</v>
      </c>
      <c r="I292" s="34" t="s">
        <v>384</v>
      </c>
      <c r="J292" s="34" t="s">
        <v>444</v>
      </c>
      <c r="K292" s="34" t="s">
        <v>178</v>
      </c>
      <c r="L292" s="34">
        <v>15548</v>
      </c>
    </row>
    <row r="293" spans="1:12" x14ac:dyDescent="0.3">
      <c r="A293" s="34" t="s">
        <v>1454</v>
      </c>
      <c r="B293" s="34" t="s">
        <v>495</v>
      </c>
      <c r="C293" s="34">
        <v>3</v>
      </c>
      <c r="D293" s="34">
        <v>2513</v>
      </c>
      <c r="E293" s="15" t="s">
        <v>1056</v>
      </c>
      <c r="F293" s="34" t="s">
        <v>1455</v>
      </c>
      <c r="G293" s="34" t="s">
        <v>1456</v>
      </c>
      <c r="H293" s="34" t="s">
        <v>443</v>
      </c>
      <c r="I293" s="34" t="s">
        <v>384</v>
      </c>
      <c r="J293" s="34" t="s">
        <v>444</v>
      </c>
      <c r="K293" s="34" t="s">
        <v>178</v>
      </c>
      <c r="L293" s="34">
        <v>7539</v>
      </c>
    </row>
    <row r="294" spans="1:12" x14ac:dyDescent="0.3">
      <c r="A294" s="34" t="s">
        <v>1457</v>
      </c>
      <c r="B294" s="34" t="s">
        <v>524</v>
      </c>
      <c r="C294" s="34">
        <v>3</v>
      </c>
      <c r="D294" s="34">
        <v>5574</v>
      </c>
      <c r="E294" s="15" t="s">
        <v>1263</v>
      </c>
      <c r="F294" s="34" t="s">
        <v>1458</v>
      </c>
      <c r="G294" s="34" t="s">
        <v>1459</v>
      </c>
      <c r="H294" s="34" t="s">
        <v>463</v>
      </c>
      <c r="I294" s="34" t="s">
        <v>384</v>
      </c>
      <c r="J294" s="34" t="s">
        <v>470</v>
      </c>
      <c r="K294" s="34" t="s">
        <v>489</v>
      </c>
      <c r="L294" s="34">
        <v>16722</v>
      </c>
    </row>
    <row r="295" spans="1:12" x14ac:dyDescent="0.3">
      <c r="A295" s="34" t="s">
        <v>1460</v>
      </c>
      <c r="B295" s="34" t="s">
        <v>524</v>
      </c>
      <c r="C295" s="34">
        <v>6</v>
      </c>
      <c r="D295" s="34">
        <v>16767</v>
      </c>
      <c r="E295" s="15" t="s">
        <v>1241</v>
      </c>
      <c r="F295" s="34" t="s">
        <v>1461</v>
      </c>
      <c r="G295" s="34" t="s">
        <v>1462</v>
      </c>
      <c r="H295" s="34" t="s">
        <v>560</v>
      </c>
      <c r="I295" s="34" t="s">
        <v>384</v>
      </c>
      <c r="J295" s="34" t="s">
        <v>470</v>
      </c>
      <c r="K295" s="34" t="s">
        <v>178</v>
      </c>
      <c r="L295" s="34">
        <v>100602</v>
      </c>
    </row>
    <row r="296" spans="1:12" x14ac:dyDescent="0.3">
      <c r="A296" s="34" t="s">
        <v>1463</v>
      </c>
      <c r="B296" s="34" t="s">
        <v>484</v>
      </c>
      <c r="C296" s="34">
        <v>7</v>
      </c>
      <c r="D296" s="34">
        <v>9548</v>
      </c>
      <c r="E296" s="15" t="s">
        <v>1161</v>
      </c>
      <c r="F296" s="34" t="s">
        <v>1464</v>
      </c>
      <c r="G296" s="34" t="s">
        <v>1465</v>
      </c>
      <c r="H296" s="34" t="s">
        <v>499</v>
      </c>
      <c r="I296" s="34" t="s">
        <v>384</v>
      </c>
      <c r="J296" s="34" t="s">
        <v>444</v>
      </c>
      <c r="K296" s="34" t="s">
        <v>489</v>
      </c>
      <c r="L296" s="34">
        <v>66836</v>
      </c>
    </row>
    <row r="297" spans="1:12" x14ac:dyDescent="0.3">
      <c r="A297" s="34" t="s">
        <v>1466</v>
      </c>
      <c r="B297" s="34" t="s">
        <v>506</v>
      </c>
      <c r="C297" s="34">
        <v>5</v>
      </c>
      <c r="D297" s="34">
        <v>13382</v>
      </c>
      <c r="E297" s="15" t="s">
        <v>1291</v>
      </c>
      <c r="F297" s="34" t="s">
        <v>1467</v>
      </c>
      <c r="G297" s="34" t="s">
        <v>1159</v>
      </c>
      <c r="H297" s="34" t="s">
        <v>618</v>
      </c>
      <c r="I297" s="34" t="s">
        <v>384</v>
      </c>
      <c r="J297" s="34" t="s">
        <v>470</v>
      </c>
      <c r="K297" s="34" t="s">
        <v>178</v>
      </c>
      <c r="L297" s="34">
        <v>66910</v>
      </c>
    </row>
    <row r="298" spans="1:12" x14ac:dyDescent="0.3">
      <c r="A298" s="34" t="s">
        <v>1468</v>
      </c>
      <c r="B298" s="34" t="s">
        <v>465</v>
      </c>
      <c r="C298" s="34">
        <v>3</v>
      </c>
      <c r="D298" s="34">
        <v>10004</v>
      </c>
      <c r="E298" s="15" t="s">
        <v>696</v>
      </c>
      <c r="F298" s="34" t="s">
        <v>1469</v>
      </c>
      <c r="G298" s="34" t="s">
        <v>1069</v>
      </c>
      <c r="H298" s="34" t="s">
        <v>583</v>
      </c>
      <c r="I298" s="34" t="s">
        <v>384</v>
      </c>
      <c r="J298" s="34" t="s">
        <v>470</v>
      </c>
      <c r="K298" s="34" t="s">
        <v>445</v>
      </c>
      <c r="L298" s="34">
        <v>30012</v>
      </c>
    </row>
    <row r="299" spans="1:12" x14ac:dyDescent="0.3">
      <c r="A299" s="34" t="s">
        <v>1470</v>
      </c>
      <c r="B299" s="34" t="s">
        <v>510</v>
      </c>
      <c r="C299" s="34">
        <v>3</v>
      </c>
      <c r="D299" s="34">
        <v>19610</v>
      </c>
      <c r="E299" s="15" t="s">
        <v>1471</v>
      </c>
      <c r="F299" s="34" t="s">
        <v>1472</v>
      </c>
      <c r="G299" s="34" t="s">
        <v>1473</v>
      </c>
      <c r="H299" s="34" t="s">
        <v>651</v>
      </c>
      <c r="I299" s="34" t="s">
        <v>384</v>
      </c>
      <c r="J299" s="34" t="s">
        <v>470</v>
      </c>
      <c r="K299" s="34" t="s">
        <v>533</v>
      </c>
      <c r="L299" s="34">
        <v>58830</v>
      </c>
    </row>
    <row r="300" spans="1:12" x14ac:dyDescent="0.3">
      <c r="A300" s="34" t="s">
        <v>1474</v>
      </c>
      <c r="B300" s="34" t="s">
        <v>495</v>
      </c>
      <c r="C300" s="34">
        <v>2</v>
      </c>
      <c r="D300" s="34">
        <v>2106</v>
      </c>
      <c r="E300" s="15" t="s">
        <v>860</v>
      </c>
      <c r="F300" s="34" t="s">
        <v>1475</v>
      </c>
      <c r="G300" s="34" t="s">
        <v>979</v>
      </c>
      <c r="H300" s="34" t="s">
        <v>538</v>
      </c>
      <c r="I300" s="34" t="s">
        <v>384</v>
      </c>
      <c r="J300" s="34" t="s">
        <v>444</v>
      </c>
      <c r="K300" s="34" t="s">
        <v>471</v>
      </c>
      <c r="L300" s="34">
        <v>4212</v>
      </c>
    </row>
    <row r="301" spans="1:12" x14ac:dyDescent="0.3">
      <c r="A301" s="34" t="s">
        <v>1476</v>
      </c>
      <c r="B301" s="34" t="s">
        <v>459</v>
      </c>
      <c r="C301" s="34">
        <v>1</v>
      </c>
      <c r="D301" s="34">
        <v>9659</v>
      </c>
      <c r="E301" s="15" t="s">
        <v>1087</v>
      </c>
      <c r="F301" s="34" t="s">
        <v>1477</v>
      </c>
      <c r="G301" s="34" t="s">
        <v>1189</v>
      </c>
      <c r="H301" s="34" t="s">
        <v>710</v>
      </c>
      <c r="I301" s="34" t="s">
        <v>384</v>
      </c>
      <c r="J301" s="34" t="s">
        <v>470</v>
      </c>
      <c r="K301" s="34" t="s">
        <v>533</v>
      </c>
      <c r="L301" s="34">
        <v>9659</v>
      </c>
    </row>
    <row r="302" spans="1:12" x14ac:dyDescent="0.3">
      <c r="A302" s="34" t="s">
        <v>1478</v>
      </c>
      <c r="B302" s="34" t="s">
        <v>465</v>
      </c>
      <c r="C302" s="34">
        <v>1</v>
      </c>
      <c r="D302" s="34">
        <v>15918</v>
      </c>
      <c r="E302" s="15" t="s">
        <v>1479</v>
      </c>
      <c r="F302" s="34" t="s">
        <v>1480</v>
      </c>
      <c r="G302" s="34" t="s">
        <v>934</v>
      </c>
      <c r="H302" s="34" t="s">
        <v>451</v>
      </c>
      <c r="I302" s="34" t="s">
        <v>384</v>
      </c>
      <c r="J302" s="34" t="s">
        <v>470</v>
      </c>
      <c r="K302" s="34" t="s">
        <v>471</v>
      </c>
      <c r="L302" s="34">
        <v>15918</v>
      </c>
    </row>
    <row r="303" spans="1:12" x14ac:dyDescent="0.3">
      <c r="A303" s="34" t="s">
        <v>1481</v>
      </c>
      <c r="B303" s="34" t="s">
        <v>439</v>
      </c>
      <c r="C303" s="34">
        <v>3</v>
      </c>
      <c r="D303" s="34">
        <v>6352</v>
      </c>
      <c r="E303" s="15" t="s">
        <v>1482</v>
      </c>
      <c r="F303" s="34" t="s">
        <v>1483</v>
      </c>
      <c r="G303" s="34" t="s">
        <v>855</v>
      </c>
      <c r="H303" s="34" t="s">
        <v>543</v>
      </c>
      <c r="I303" s="34" t="s">
        <v>384</v>
      </c>
      <c r="J303" s="34" t="s">
        <v>470</v>
      </c>
      <c r="K303" s="34" t="s">
        <v>445</v>
      </c>
      <c r="L303" s="34">
        <v>19056</v>
      </c>
    </row>
    <row r="304" spans="1:12" x14ac:dyDescent="0.3">
      <c r="A304" s="34" t="s">
        <v>1484</v>
      </c>
      <c r="B304" s="34" t="s">
        <v>465</v>
      </c>
      <c r="C304" s="34">
        <v>9</v>
      </c>
      <c r="D304" s="34">
        <v>11809</v>
      </c>
      <c r="E304" s="15" t="s">
        <v>1034</v>
      </c>
      <c r="F304" s="34" t="s">
        <v>1485</v>
      </c>
      <c r="G304" s="34" t="s">
        <v>1486</v>
      </c>
      <c r="H304" s="34" t="s">
        <v>560</v>
      </c>
      <c r="I304" s="34" t="s">
        <v>384</v>
      </c>
      <c r="J304" s="34" t="s">
        <v>470</v>
      </c>
      <c r="K304" s="34" t="s">
        <v>178</v>
      </c>
      <c r="L304" s="34">
        <v>106281</v>
      </c>
    </row>
    <row r="305" spans="1:12" x14ac:dyDescent="0.3">
      <c r="A305" s="34" t="s">
        <v>1487</v>
      </c>
      <c r="B305" s="34" t="s">
        <v>439</v>
      </c>
      <c r="C305" s="34">
        <v>4</v>
      </c>
      <c r="D305" s="34">
        <v>17147</v>
      </c>
      <c r="E305" s="15" t="s">
        <v>828</v>
      </c>
      <c r="F305" s="34" t="s">
        <v>1488</v>
      </c>
      <c r="G305" s="34" t="s">
        <v>1489</v>
      </c>
      <c r="H305" s="34" t="s">
        <v>651</v>
      </c>
      <c r="I305" s="34" t="s">
        <v>384</v>
      </c>
      <c r="J305" s="34" t="s">
        <v>444</v>
      </c>
      <c r="K305" s="34" t="s">
        <v>445</v>
      </c>
      <c r="L305" s="34">
        <v>68588</v>
      </c>
    </row>
    <row r="306" spans="1:12" x14ac:dyDescent="0.3">
      <c r="A306" s="34" t="s">
        <v>1490</v>
      </c>
      <c r="B306" s="34" t="s">
        <v>478</v>
      </c>
      <c r="C306" s="34">
        <v>1</v>
      </c>
      <c r="D306" s="34">
        <v>7046</v>
      </c>
      <c r="E306" s="15" t="s">
        <v>1241</v>
      </c>
      <c r="F306" s="34" t="s">
        <v>1491</v>
      </c>
      <c r="G306" s="34" t="s">
        <v>862</v>
      </c>
      <c r="H306" s="34" t="s">
        <v>639</v>
      </c>
      <c r="I306" s="34" t="s">
        <v>384</v>
      </c>
      <c r="J306" s="34" t="s">
        <v>470</v>
      </c>
      <c r="K306" s="34" t="s">
        <v>445</v>
      </c>
      <c r="L306" s="34">
        <v>7046</v>
      </c>
    </row>
    <row r="307" spans="1:12" x14ac:dyDescent="0.3">
      <c r="A307" s="34" t="s">
        <v>1492</v>
      </c>
      <c r="B307" s="34" t="s">
        <v>506</v>
      </c>
      <c r="C307" s="34">
        <v>9</v>
      </c>
      <c r="D307" s="34">
        <v>10982</v>
      </c>
      <c r="E307" s="15" t="s">
        <v>739</v>
      </c>
      <c r="F307" s="34" t="s">
        <v>1493</v>
      </c>
      <c r="G307" s="34" t="s">
        <v>1201</v>
      </c>
      <c r="H307" s="34" t="s">
        <v>710</v>
      </c>
      <c r="I307" s="34" t="s">
        <v>384</v>
      </c>
      <c r="J307" s="34" t="s">
        <v>457</v>
      </c>
      <c r="K307" s="34" t="s">
        <v>533</v>
      </c>
      <c r="L307" s="34">
        <v>98838</v>
      </c>
    </row>
    <row r="308" spans="1:12" x14ac:dyDescent="0.3">
      <c r="A308" s="34" t="s">
        <v>1494</v>
      </c>
      <c r="B308" s="34" t="s">
        <v>524</v>
      </c>
      <c r="C308" s="34">
        <v>9</v>
      </c>
      <c r="D308" s="34">
        <v>17135</v>
      </c>
      <c r="E308" s="15" t="s">
        <v>520</v>
      </c>
      <c r="F308" s="34" t="s">
        <v>1495</v>
      </c>
      <c r="G308" s="34" t="s">
        <v>1496</v>
      </c>
      <c r="H308" s="34" t="s">
        <v>583</v>
      </c>
      <c r="I308" s="34" t="s">
        <v>384</v>
      </c>
      <c r="J308" s="34" t="s">
        <v>457</v>
      </c>
      <c r="K308" s="34" t="s">
        <v>445</v>
      </c>
      <c r="L308" s="34">
        <v>154215</v>
      </c>
    </row>
    <row r="309" spans="1:12" x14ac:dyDescent="0.3">
      <c r="A309" s="34" t="s">
        <v>1497</v>
      </c>
      <c r="B309" s="34" t="s">
        <v>478</v>
      </c>
      <c r="C309" s="34">
        <v>2</v>
      </c>
      <c r="D309" s="34">
        <v>14660</v>
      </c>
      <c r="E309" s="15" t="s">
        <v>1031</v>
      </c>
      <c r="F309" s="34" t="s">
        <v>1498</v>
      </c>
      <c r="G309" s="34" t="s">
        <v>1343</v>
      </c>
      <c r="H309" s="34" t="s">
        <v>476</v>
      </c>
      <c r="I309" s="34" t="s">
        <v>384</v>
      </c>
      <c r="J309" s="34" t="s">
        <v>457</v>
      </c>
      <c r="K309" s="34" t="s">
        <v>533</v>
      </c>
      <c r="L309" s="34">
        <v>29320</v>
      </c>
    </row>
    <row r="310" spans="1:12" x14ac:dyDescent="0.3">
      <c r="A310" s="34" t="s">
        <v>1499</v>
      </c>
      <c r="B310" s="34" t="s">
        <v>506</v>
      </c>
      <c r="C310" s="34">
        <v>1</v>
      </c>
      <c r="D310" s="34">
        <v>17394</v>
      </c>
      <c r="E310" s="15" t="s">
        <v>1075</v>
      </c>
      <c r="F310" s="34" t="s">
        <v>1500</v>
      </c>
      <c r="G310" s="34" t="s">
        <v>1501</v>
      </c>
      <c r="H310" s="34" t="s">
        <v>488</v>
      </c>
      <c r="I310" s="34" t="s">
        <v>384</v>
      </c>
      <c r="J310" s="34" t="s">
        <v>457</v>
      </c>
      <c r="K310" s="34" t="s">
        <v>489</v>
      </c>
      <c r="L310" s="34">
        <v>17394</v>
      </c>
    </row>
    <row r="311" spans="1:12" x14ac:dyDescent="0.3">
      <c r="A311" s="34" t="s">
        <v>1502</v>
      </c>
      <c r="B311" s="34" t="s">
        <v>524</v>
      </c>
      <c r="C311" s="34">
        <v>6</v>
      </c>
      <c r="D311" s="34">
        <v>5396</v>
      </c>
      <c r="E311" s="15" t="s">
        <v>1099</v>
      </c>
      <c r="F311" s="34" t="s">
        <v>1503</v>
      </c>
      <c r="G311" s="34" t="s">
        <v>1379</v>
      </c>
      <c r="H311" s="34" t="s">
        <v>543</v>
      </c>
      <c r="I311" s="34" t="s">
        <v>384</v>
      </c>
      <c r="J311" s="34" t="s">
        <v>470</v>
      </c>
      <c r="K311" s="34" t="s">
        <v>533</v>
      </c>
      <c r="L311" s="34">
        <v>32376</v>
      </c>
    </row>
    <row r="312" spans="1:12" x14ac:dyDescent="0.3">
      <c r="A312" s="34" t="s">
        <v>1504</v>
      </c>
      <c r="B312" s="34" t="s">
        <v>478</v>
      </c>
      <c r="C312" s="34">
        <v>9</v>
      </c>
      <c r="D312" s="34">
        <v>5962</v>
      </c>
      <c r="E312" s="15" t="s">
        <v>1505</v>
      </c>
      <c r="F312" s="34" t="s">
        <v>1506</v>
      </c>
      <c r="G312" s="34" t="s">
        <v>702</v>
      </c>
      <c r="H312" s="34" t="s">
        <v>476</v>
      </c>
      <c r="I312" s="34" t="s">
        <v>384</v>
      </c>
      <c r="J312" s="34" t="s">
        <v>444</v>
      </c>
      <c r="K312" s="34" t="s">
        <v>533</v>
      </c>
      <c r="L312" s="34">
        <v>53658</v>
      </c>
    </row>
    <row r="313" spans="1:12" x14ac:dyDescent="0.3">
      <c r="A313" s="34" t="s">
        <v>1507</v>
      </c>
      <c r="B313" s="34" t="s">
        <v>484</v>
      </c>
      <c r="C313" s="34">
        <v>3</v>
      </c>
      <c r="D313" s="34">
        <v>19214</v>
      </c>
      <c r="E313" s="15" t="s">
        <v>1508</v>
      </c>
      <c r="F313" s="34" t="s">
        <v>1509</v>
      </c>
      <c r="G313" s="34" t="s">
        <v>1510</v>
      </c>
      <c r="H313" s="34" t="s">
        <v>543</v>
      </c>
      <c r="I313" s="34" t="s">
        <v>384</v>
      </c>
      <c r="J313" s="34" t="s">
        <v>457</v>
      </c>
      <c r="K313" s="34" t="s">
        <v>471</v>
      </c>
      <c r="L313" s="34">
        <v>57642</v>
      </c>
    </row>
    <row r="314" spans="1:12" x14ac:dyDescent="0.3">
      <c r="A314" s="34" t="s">
        <v>1511</v>
      </c>
      <c r="B314" s="34" t="s">
        <v>484</v>
      </c>
      <c r="C314" s="34">
        <v>4</v>
      </c>
      <c r="D314" s="34">
        <v>5876</v>
      </c>
      <c r="E314" s="15" t="s">
        <v>1001</v>
      </c>
      <c r="F314" s="34" t="s">
        <v>1512</v>
      </c>
      <c r="G314" s="34" t="s">
        <v>1513</v>
      </c>
      <c r="H314" s="34" t="s">
        <v>482</v>
      </c>
      <c r="I314" s="34" t="s">
        <v>384</v>
      </c>
      <c r="J314" s="34" t="s">
        <v>457</v>
      </c>
      <c r="K314" s="34" t="s">
        <v>471</v>
      </c>
      <c r="L314" s="34">
        <v>23504</v>
      </c>
    </row>
    <row r="315" spans="1:12" x14ac:dyDescent="0.3">
      <c r="A315" s="34" t="s">
        <v>1514</v>
      </c>
      <c r="B315" s="34" t="s">
        <v>484</v>
      </c>
      <c r="C315" s="34">
        <v>6</v>
      </c>
      <c r="D315" s="34">
        <v>10913</v>
      </c>
      <c r="E315" s="15" t="s">
        <v>1515</v>
      </c>
      <c r="F315" s="34" t="s">
        <v>1516</v>
      </c>
      <c r="G315" s="34" t="s">
        <v>892</v>
      </c>
      <c r="H315" s="34" t="s">
        <v>456</v>
      </c>
      <c r="I315" s="34" t="s">
        <v>384</v>
      </c>
      <c r="J315" s="34" t="s">
        <v>457</v>
      </c>
      <c r="K315" s="34" t="s">
        <v>178</v>
      </c>
      <c r="L315" s="34">
        <v>65478</v>
      </c>
    </row>
    <row r="316" spans="1:12" x14ac:dyDescent="0.3">
      <c r="A316" s="34" t="s">
        <v>1517</v>
      </c>
      <c r="B316" s="34" t="s">
        <v>478</v>
      </c>
      <c r="C316" s="34">
        <v>4</v>
      </c>
      <c r="D316" s="34">
        <v>12480</v>
      </c>
      <c r="E316" s="15" t="s">
        <v>1518</v>
      </c>
      <c r="F316" s="34" t="s">
        <v>1519</v>
      </c>
      <c r="G316" s="34" t="s">
        <v>698</v>
      </c>
      <c r="H316" s="34" t="s">
        <v>463</v>
      </c>
      <c r="I316" s="34" t="s">
        <v>384</v>
      </c>
      <c r="J316" s="34" t="s">
        <v>470</v>
      </c>
      <c r="K316" s="34" t="s">
        <v>471</v>
      </c>
      <c r="L316" s="34">
        <v>49920</v>
      </c>
    </row>
    <row r="317" spans="1:12" x14ac:dyDescent="0.3">
      <c r="A317" s="34" t="s">
        <v>1520</v>
      </c>
      <c r="B317" s="34" t="s">
        <v>465</v>
      </c>
      <c r="C317" s="34">
        <v>9</v>
      </c>
      <c r="D317" s="34">
        <v>17727</v>
      </c>
      <c r="E317" s="15" t="s">
        <v>1521</v>
      </c>
      <c r="F317" s="34" t="s">
        <v>1522</v>
      </c>
      <c r="G317" s="34" t="s">
        <v>1048</v>
      </c>
      <c r="H317" s="34" t="s">
        <v>514</v>
      </c>
      <c r="I317" s="34" t="s">
        <v>384</v>
      </c>
      <c r="J317" s="34" t="s">
        <v>444</v>
      </c>
      <c r="K317" s="34" t="s">
        <v>533</v>
      </c>
      <c r="L317" s="34">
        <v>159543</v>
      </c>
    </row>
    <row r="318" spans="1:12" x14ac:dyDescent="0.3">
      <c r="A318" s="34" t="s">
        <v>1523</v>
      </c>
      <c r="B318" s="34" t="s">
        <v>465</v>
      </c>
      <c r="C318" s="34">
        <v>7</v>
      </c>
      <c r="D318" s="34">
        <v>10390</v>
      </c>
      <c r="E318" s="15" t="s">
        <v>557</v>
      </c>
      <c r="F318" s="34" t="s">
        <v>1524</v>
      </c>
      <c r="G318" s="34" t="s">
        <v>1025</v>
      </c>
      <c r="H318" s="34" t="s">
        <v>443</v>
      </c>
      <c r="I318" s="34" t="s">
        <v>384</v>
      </c>
      <c r="J318" s="34" t="s">
        <v>444</v>
      </c>
      <c r="K318" s="34" t="s">
        <v>533</v>
      </c>
      <c r="L318" s="34">
        <v>72730</v>
      </c>
    </row>
    <row r="319" spans="1:12" x14ac:dyDescent="0.3">
      <c r="A319" s="34" t="s">
        <v>1525</v>
      </c>
      <c r="B319" s="34" t="s">
        <v>524</v>
      </c>
      <c r="C319" s="34">
        <v>5</v>
      </c>
      <c r="D319" s="34">
        <v>5504</v>
      </c>
      <c r="E319" s="15" t="s">
        <v>1164</v>
      </c>
      <c r="F319" s="34" t="s">
        <v>1526</v>
      </c>
      <c r="G319" s="34" t="s">
        <v>1510</v>
      </c>
      <c r="H319" s="34" t="s">
        <v>583</v>
      </c>
      <c r="I319" s="34" t="s">
        <v>384</v>
      </c>
      <c r="J319" s="34" t="s">
        <v>470</v>
      </c>
      <c r="K319" s="34" t="s">
        <v>178</v>
      </c>
      <c r="L319" s="34">
        <v>27520</v>
      </c>
    </row>
    <row r="320" spans="1:12" x14ac:dyDescent="0.3">
      <c r="A320" s="34" t="s">
        <v>1527</v>
      </c>
      <c r="B320" s="34" t="s">
        <v>465</v>
      </c>
      <c r="C320" s="34">
        <v>7</v>
      </c>
      <c r="D320" s="34">
        <v>4441</v>
      </c>
      <c r="E320" s="15" t="s">
        <v>1528</v>
      </c>
      <c r="F320" s="34" t="s">
        <v>1529</v>
      </c>
      <c r="G320" s="34" t="s">
        <v>617</v>
      </c>
      <c r="H320" s="34" t="s">
        <v>710</v>
      </c>
      <c r="I320" s="34" t="s">
        <v>384</v>
      </c>
      <c r="J320" s="34" t="s">
        <v>457</v>
      </c>
      <c r="K320" s="34" t="s">
        <v>471</v>
      </c>
      <c r="L320" s="34">
        <v>31087</v>
      </c>
    </row>
    <row r="321" spans="1:12" x14ac:dyDescent="0.3">
      <c r="A321" s="34" t="s">
        <v>1530</v>
      </c>
      <c r="B321" s="34" t="s">
        <v>495</v>
      </c>
      <c r="C321" s="34">
        <v>4</v>
      </c>
      <c r="D321" s="34">
        <v>2469</v>
      </c>
      <c r="E321" s="15" t="s">
        <v>632</v>
      </c>
      <c r="F321" s="34" t="s">
        <v>1531</v>
      </c>
      <c r="G321" s="34" t="s">
        <v>1532</v>
      </c>
      <c r="H321" s="34" t="s">
        <v>583</v>
      </c>
      <c r="I321" s="34" t="s">
        <v>384</v>
      </c>
      <c r="J321" s="34" t="s">
        <v>457</v>
      </c>
      <c r="K321" s="34" t="s">
        <v>489</v>
      </c>
      <c r="L321" s="34">
        <v>9876</v>
      </c>
    </row>
    <row r="322" spans="1:12" x14ac:dyDescent="0.3">
      <c r="A322" s="34" t="s">
        <v>1533</v>
      </c>
      <c r="B322" s="34" t="s">
        <v>439</v>
      </c>
      <c r="C322" s="34">
        <v>7</v>
      </c>
      <c r="D322" s="34">
        <v>16857</v>
      </c>
      <c r="E322" s="15" t="s">
        <v>1194</v>
      </c>
      <c r="F322" s="34" t="s">
        <v>1534</v>
      </c>
      <c r="G322" s="34" t="s">
        <v>1535</v>
      </c>
      <c r="H322" s="34" t="s">
        <v>565</v>
      </c>
      <c r="I322" s="34" t="s">
        <v>384</v>
      </c>
      <c r="J322" s="34" t="s">
        <v>444</v>
      </c>
      <c r="K322" s="34" t="s">
        <v>533</v>
      </c>
      <c r="L322" s="34">
        <v>117999</v>
      </c>
    </row>
    <row r="323" spans="1:12" x14ac:dyDescent="0.3">
      <c r="A323" s="34" t="s">
        <v>1536</v>
      </c>
      <c r="B323" s="34" t="s">
        <v>510</v>
      </c>
      <c r="C323" s="34">
        <v>3</v>
      </c>
      <c r="D323" s="34">
        <v>9160</v>
      </c>
      <c r="E323" s="15" t="s">
        <v>1537</v>
      </c>
      <c r="F323" s="34" t="s">
        <v>1538</v>
      </c>
      <c r="G323" s="34" t="s">
        <v>1539</v>
      </c>
      <c r="H323" s="34" t="s">
        <v>499</v>
      </c>
      <c r="I323" s="34" t="s">
        <v>384</v>
      </c>
      <c r="J323" s="34" t="s">
        <v>457</v>
      </c>
      <c r="K323" s="34" t="s">
        <v>471</v>
      </c>
      <c r="L323" s="34">
        <v>27480</v>
      </c>
    </row>
    <row r="324" spans="1:12" x14ac:dyDescent="0.3">
      <c r="A324" s="34" t="s">
        <v>1540</v>
      </c>
      <c r="B324" s="34" t="s">
        <v>465</v>
      </c>
      <c r="C324" s="34">
        <v>7</v>
      </c>
      <c r="D324" s="34">
        <v>3188</v>
      </c>
      <c r="E324" s="15" t="s">
        <v>716</v>
      </c>
      <c r="F324" s="34" t="s">
        <v>1541</v>
      </c>
      <c r="G324" s="34" t="s">
        <v>865</v>
      </c>
      <c r="H324" s="34" t="s">
        <v>746</v>
      </c>
      <c r="I324" s="34" t="s">
        <v>384</v>
      </c>
      <c r="J324" s="34" t="s">
        <v>457</v>
      </c>
      <c r="K324" s="34" t="s">
        <v>471</v>
      </c>
      <c r="L324" s="34">
        <v>22316</v>
      </c>
    </row>
    <row r="325" spans="1:12" x14ac:dyDescent="0.3">
      <c r="A325" s="34" t="s">
        <v>1542</v>
      </c>
      <c r="B325" s="34" t="s">
        <v>439</v>
      </c>
      <c r="C325" s="34">
        <v>6</v>
      </c>
      <c r="D325" s="34">
        <v>10476</v>
      </c>
      <c r="E325" s="15" t="s">
        <v>977</v>
      </c>
      <c r="F325" s="34" t="s">
        <v>1543</v>
      </c>
      <c r="G325" s="34" t="s">
        <v>906</v>
      </c>
      <c r="H325" s="34" t="s">
        <v>499</v>
      </c>
      <c r="I325" s="34" t="s">
        <v>384</v>
      </c>
      <c r="J325" s="34" t="s">
        <v>470</v>
      </c>
      <c r="K325" s="34" t="s">
        <v>471</v>
      </c>
      <c r="L325" s="34">
        <v>62856</v>
      </c>
    </row>
    <row r="326" spans="1:12" x14ac:dyDescent="0.3">
      <c r="A326" s="34" t="s">
        <v>1544</v>
      </c>
      <c r="B326" s="34" t="s">
        <v>439</v>
      </c>
      <c r="C326" s="34">
        <v>6</v>
      </c>
      <c r="D326" s="34">
        <v>17424</v>
      </c>
      <c r="E326" s="15" t="s">
        <v>1545</v>
      </c>
      <c r="F326" s="34" t="s">
        <v>1546</v>
      </c>
      <c r="G326" s="34" t="s">
        <v>729</v>
      </c>
      <c r="H326" s="34" t="s">
        <v>560</v>
      </c>
      <c r="I326" s="34" t="s">
        <v>384</v>
      </c>
      <c r="J326" s="34" t="s">
        <v>444</v>
      </c>
      <c r="K326" s="34" t="s">
        <v>178</v>
      </c>
      <c r="L326" s="34">
        <v>104544</v>
      </c>
    </row>
    <row r="327" spans="1:12" x14ac:dyDescent="0.3">
      <c r="A327" s="34" t="s">
        <v>1547</v>
      </c>
      <c r="B327" s="34" t="s">
        <v>506</v>
      </c>
      <c r="C327" s="34">
        <v>5</v>
      </c>
      <c r="D327" s="34">
        <v>19354</v>
      </c>
      <c r="E327" s="15" t="s">
        <v>696</v>
      </c>
      <c r="F327" s="34" t="s">
        <v>1548</v>
      </c>
      <c r="G327" s="34" t="s">
        <v>1549</v>
      </c>
      <c r="H327" s="34" t="s">
        <v>488</v>
      </c>
      <c r="I327" s="34" t="s">
        <v>384</v>
      </c>
      <c r="J327" s="34" t="s">
        <v>444</v>
      </c>
      <c r="K327" s="34" t="s">
        <v>533</v>
      </c>
      <c r="L327" s="34">
        <v>96770</v>
      </c>
    </row>
    <row r="328" spans="1:12" x14ac:dyDescent="0.3">
      <c r="A328" s="34" t="s">
        <v>1550</v>
      </c>
      <c r="B328" s="34" t="s">
        <v>510</v>
      </c>
      <c r="C328" s="34">
        <v>7</v>
      </c>
      <c r="D328" s="34">
        <v>15180</v>
      </c>
      <c r="E328" s="15" t="s">
        <v>929</v>
      </c>
      <c r="F328" s="34" t="s">
        <v>1551</v>
      </c>
      <c r="G328" s="34" t="s">
        <v>1552</v>
      </c>
      <c r="H328" s="34" t="s">
        <v>754</v>
      </c>
      <c r="I328" s="34" t="s">
        <v>384</v>
      </c>
      <c r="J328" s="34" t="s">
        <v>457</v>
      </c>
      <c r="K328" s="34" t="s">
        <v>471</v>
      </c>
      <c r="L328" s="34">
        <v>106260</v>
      </c>
    </row>
    <row r="329" spans="1:12" x14ac:dyDescent="0.3">
      <c r="A329" s="34" t="s">
        <v>1553</v>
      </c>
      <c r="B329" s="34" t="s">
        <v>484</v>
      </c>
      <c r="C329" s="34">
        <v>6</v>
      </c>
      <c r="D329" s="34">
        <v>4469</v>
      </c>
      <c r="E329" s="15" t="s">
        <v>1554</v>
      </c>
      <c r="F329" s="34" t="s">
        <v>1555</v>
      </c>
      <c r="G329" s="34" t="s">
        <v>622</v>
      </c>
      <c r="H329" s="34" t="s">
        <v>514</v>
      </c>
      <c r="I329" s="34" t="s">
        <v>384</v>
      </c>
      <c r="J329" s="34" t="s">
        <v>470</v>
      </c>
      <c r="K329" s="34" t="s">
        <v>489</v>
      </c>
      <c r="L329" s="34">
        <v>26814</v>
      </c>
    </row>
    <row r="330" spans="1:12" x14ac:dyDescent="0.3">
      <c r="A330" s="34" t="s">
        <v>1556</v>
      </c>
      <c r="B330" s="34" t="s">
        <v>459</v>
      </c>
      <c r="C330" s="34">
        <v>2</v>
      </c>
      <c r="D330" s="34">
        <v>9255</v>
      </c>
      <c r="E330" s="15" t="s">
        <v>1557</v>
      </c>
      <c r="F330" s="34" t="s">
        <v>1558</v>
      </c>
      <c r="G330" s="34" t="s">
        <v>1559</v>
      </c>
      <c r="H330" s="34" t="s">
        <v>451</v>
      </c>
      <c r="I330" s="34" t="s">
        <v>384</v>
      </c>
      <c r="J330" s="34" t="s">
        <v>444</v>
      </c>
      <c r="K330" s="34" t="s">
        <v>178</v>
      </c>
      <c r="L330" s="34">
        <v>18510</v>
      </c>
    </row>
    <row r="331" spans="1:12" x14ac:dyDescent="0.3">
      <c r="A331" s="34" t="s">
        <v>1560</v>
      </c>
      <c r="B331" s="34" t="s">
        <v>465</v>
      </c>
      <c r="C331" s="34">
        <v>4</v>
      </c>
      <c r="D331" s="34">
        <v>3758</v>
      </c>
      <c r="E331" s="15" t="s">
        <v>743</v>
      </c>
      <c r="F331" s="34" t="s">
        <v>1561</v>
      </c>
      <c r="G331" s="34" t="s">
        <v>1159</v>
      </c>
      <c r="H331" s="34" t="s">
        <v>578</v>
      </c>
      <c r="I331" s="34" t="s">
        <v>384</v>
      </c>
      <c r="J331" s="34" t="s">
        <v>444</v>
      </c>
      <c r="K331" s="34" t="s">
        <v>533</v>
      </c>
      <c r="L331" s="34">
        <v>15032</v>
      </c>
    </row>
    <row r="332" spans="1:12" x14ac:dyDescent="0.3">
      <c r="A332" s="34" t="s">
        <v>1562</v>
      </c>
      <c r="B332" s="34" t="s">
        <v>484</v>
      </c>
      <c r="C332" s="34">
        <v>4</v>
      </c>
      <c r="D332" s="34">
        <v>6049</v>
      </c>
      <c r="E332" s="15" t="s">
        <v>719</v>
      </c>
      <c r="F332" s="34" t="s">
        <v>1563</v>
      </c>
      <c r="G332" s="34" t="s">
        <v>1564</v>
      </c>
      <c r="H332" s="34" t="s">
        <v>482</v>
      </c>
      <c r="I332" s="34" t="s">
        <v>384</v>
      </c>
      <c r="J332" s="34" t="s">
        <v>470</v>
      </c>
      <c r="K332" s="34" t="s">
        <v>178</v>
      </c>
      <c r="L332" s="34">
        <v>24196</v>
      </c>
    </row>
    <row r="333" spans="1:12" x14ac:dyDescent="0.3">
      <c r="A333" s="34" t="s">
        <v>1565</v>
      </c>
      <c r="B333" s="34" t="s">
        <v>459</v>
      </c>
      <c r="C333" s="34">
        <v>9</v>
      </c>
      <c r="D333" s="34">
        <v>18495</v>
      </c>
      <c r="E333" s="15" t="s">
        <v>816</v>
      </c>
      <c r="F333" s="34" t="s">
        <v>1566</v>
      </c>
      <c r="G333" s="34" t="s">
        <v>811</v>
      </c>
      <c r="H333" s="34" t="s">
        <v>543</v>
      </c>
      <c r="I333" s="34" t="s">
        <v>384</v>
      </c>
      <c r="J333" s="34" t="s">
        <v>457</v>
      </c>
      <c r="K333" s="34" t="s">
        <v>178</v>
      </c>
      <c r="L333" s="34">
        <v>166455</v>
      </c>
    </row>
    <row r="334" spans="1:12" x14ac:dyDescent="0.3">
      <c r="A334" s="34" t="s">
        <v>1567</v>
      </c>
      <c r="B334" s="34" t="s">
        <v>478</v>
      </c>
      <c r="C334" s="34">
        <v>6</v>
      </c>
      <c r="D334" s="34">
        <v>16306</v>
      </c>
      <c r="E334" s="15" t="s">
        <v>1568</v>
      </c>
      <c r="F334" s="34" t="s">
        <v>1569</v>
      </c>
      <c r="G334" s="34" t="s">
        <v>1570</v>
      </c>
      <c r="H334" s="34" t="s">
        <v>639</v>
      </c>
      <c r="I334" s="34" t="s">
        <v>384</v>
      </c>
      <c r="J334" s="34" t="s">
        <v>444</v>
      </c>
      <c r="K334" s="34" t="s">
        <v>178</v>
      </c>
      <c r="L334" s="34">
        <v>97836</v>
      </c>
    </row>
    <row r="335" spans="1:12" x14ac:dyDescent="0.3">
      <c r="A335" s="34" t="s">
        <v>1571</v>
      </c>
      <c r="B335" s="34" t="s">
        <v>439</v>
      </c>
      <c r="C335" s="34">
        <v>6</v>
      </c>
      <c r="D335" s="34">
        <v>8992</v>
      </c>
      <c r="E335" s="15" t="s">
        <v>1572</v>
      </c>
      <c r="F335" s="34" t="s">
        <v>1573</v>
      </c>
      <c r="G335" s="34" t="s">
        <v>582</v>
      </c>
      <c r="H335" s="34" t="s">
        <v>595</v>
      </c>
      <c r="I335" s="34" t="s">
        <v>384</v>
      </c>
      <c r="J335" s="34" t="s">
        <v>457</v>
      </c>
      <c r="K335" s="34" t="s">
        <v>471</v>
      </c>
      <c r="L335" s="34">
        <v>53952</v>
      </c>
    </row>
    <row r="336" spans="1:12" x14ac:dyDescent="0.3">
      <c r="A336" s="34" t="s">
        <v>1574</v>
      </c>
      <c r="B336" s="34" t="s">
        <v>510</v>
      </c>
      <c r="C336" s="34">
        <v>7</v>
      </c>
      <c r="D336" s="34">
        <v>3779</v>
      </c>
      <c r="E336" s="15" t="s">
        <v>1087</v>
      </c>
      <c r="F336" s="34" t="s">
        <v>1575</v>
      </c>
      <c r="G336" s="34" t="s">
        <v>1576</v>
      </c>
      <c r="H336" s="34" t="s">
        <v>482</v>
      </c>
      <c r="I336" s="34" t="s">
        <v>384</v>
      </c>
      <c r="J336" s="34" t="s">
        <v>457</v>
      </c>
      <c r="K336" s="34" t="s">
        <v>471</v>
      </c>
      <c r="L336" s="34">
        <v>26453</v>
      </c>
    </row>
    <row r="337" spans="1:12" x14ac:dyDescent="0.3">
      <c r="A337" s="34" t="s">
        <v>1577</v>
      </c>
      <c r="B337" s="34" t="s">
        <v>484</v>
      </c>
      <c r="C337" s="34">
        <v>1</v>
      </c>
      <c r="D337" s="34">
        <v>6690</v>
      </c>
      <c r="E337" s="15" t="s">
        <v>870</v>
      </c>
      <c r="F337" s="34" t="s">
        <v>1578</v>
      </c>
      <c r="G337" s="34" t="s">
        <v>666</v>
      </c>
      <c r="H337" s="34" t="s">
        <v>504</v>
      </c>
      <c r="I337" s="34" t="s">
        <v>384</v>
      </c>
      <c r="J337" s="34" t="s">
        <v>457</v>
      </c>
      <c r="K337" s="34" t="s">
        <v>471</v>
      </c>
      <c r="L337" s="34">
        <v>6690</v>
      </c>
    </row>
    <row r="338" spans="1:12" x14ac:dyDescent="0.3">
      <c r="A338" s="34" t="s">
        <v>1579</v>
      </c>
      <c r="B338" s="34" t="s">
        <v>478</v>
      </c>
      <c r="C338" s="34">
        <v>8</v>
      </c>
      <c r="D338" s="34">
        <v>4538</v>
      </c>
      <c r="E338" s="15" t="s">
        <v>580</v>
      </c>
      <c r="F338" s="34" t="s">
        <v>1580</v>
      </c>
      <c r="G338" s="34" t="s">
        <v>1006</v>
      </c>
      <c r="H338" s="34" t="s">
        <v>504</v>
      </c>
      <c r="I338" s="34" t="s">
        <v>384</v>
      </c>
      <c r="J338" s="34" t="s">
        <v>457</v>
      </c>
      <c r="K338" s="34" t="s">
        <v>178</v>
      </c>
      <c r="L338" s="34">
        <v>36304</v>
      </c>
    </row>
    <row r="339" spans="1:12" x14ac:dyDescent="0.3">
      <c r="A339" s="34" t="s">
        <v>1581</v>
      </c>
      <c r="B339" s="34" t="s">
        <v>478</v>
      </c>
      <c r="C339" s="34">
        <v>6</v>
      </c>
      <c r="D339" s="34">
        <v>14316</v>
      </c>
      <c r="E339" s="15" t="s">
        <v>1023</v>
      </c>
      <c r="F339" s="34" t="s">
        <v>1382</v>
      </c>
      <c r="G339" s="34" t="s">
        <v>690</v>
      </c>
      <c r="H339" s="34" t="s">
        <v>578</v>
      </c>
      <c r="I339" s="34" t="s">
        <v>384</v>
      </c>
      <c r="J339" s="34" t="s">
        <v>444</v>
      </c>
      <c r="K339" s="34" t="s">
        <v>445</v>
      </c>
      <c r="L339" s="34">
        <v>85896</v>
      </c>
    </row>
    <row r="340" spans="1:12" x14ac:dyDescent="0.3">
      <c r="A340" s="34" t="s">
        <v>1582</v>
      </c>
      <c r="B340" s="34" t="s">
        <v>484</v>
      </c>
      <c r="C340" s="34">
        <v>2</v>
      </c>
      <c r="D340" s="34">
        <v>3827</v>
      </c>
      <c r="E340" s="15" t="s">
        <v>1583</v>
      </c>
      <c r="F340" s="34" t="s">
        <v>1584</v>
      </c>
      <c r="G340" s="34" t="s">
        <v>1585</v>
      </c>
      <c r="H340" s="34" t="s">
        <v>514</v>
      </c>
      <c r="I340" s="34" t="s">
        <v>384</v>
      </c>
      <c r="J340" s="34" t="s">
        <v>457</v>
      </c>
      <c r="K340" s="34" t="s">
        <v>489</v>
      </c>
      <c r="L340" s="34">
        <v>7654</v>
      </c>
    </row>
    <row r="341" spans="1:12" x14ac:dyDescent="0.3">
      <c r="A341" s="34" t="s">
        <v>1586</v>
      </c>
      <c r="B341" s="34" t="s">
        <v>439</v>
      </c>
      <c r="C341" s="34">
        <v>6</v>
      </c>
      <c r="D341" s="34">
        <v>14058</v>
      </c>
      <c r="E341" s="15" t="s">
        <v>1587</v>
      </c>
      <c r="F341" s="34" t="s">
        <v>1588</v>
      </c>
      <c r="G341" s="34" t="s">
        <v>1589</v>
      </c>
      <c r="H341" s="34" t="s">
        <v>560</v>
      </c>
      <c r="I341" s="34" t="s">
        <v>384</v>
      </c>
      <c r="J341" s="34" t="s">
        <v>470</v>
      </c>
      <c r="K341" s="34" t="s">
        <v>178</v>
      </c>
      <c r="L341" s="34">
        <v>84348</v>
      </c>
    </row>
    <row r="342" spans="1:12" x14ac:dyDescent="0.3">
      <c r="A342" s="34" t="s">
        <v>1590</v>
      </c>
      <c r="B342" s="34" t="s">
        <v>510</v>
      </c>
      <c r="C342" s="34">
        <v>7</v>
      </c>
      <c r="D342" s="34">
        <v>5441</v>
      </c>
      <c r="E342" s="15" t="s">
        <v>1153</v>
      </c>
      <c r="F342" s="34" t="s">
        <v>1591</v>
      </c>
      <c r="G342" s="34" t="s">
        <v>1592</v>
      </c>
      <c r="H342" s="34" t="s">
        <v>639</v>
      </c>
      <c r="I342" s="34" t="s">
        <v>384</v>
      </c>
      <c r="J342" s="34" t="s">
        <v>444</v>
      </c>
      <c r="K342" s="34" t="s">
        <v>533</v>
      </c>
      <c r="L342" s="34">
        <v>38087</v>
      </c>
    </row>
    <row r="343" spans="1:12" x14ac:dyDescent="0.3">
      <c r="A343" s="34" t="s">
        <v>1593</v>
      </c>
      <c r="B343" s="34" t="s">
        <v>447</v>
      </c>
      <c r="C343" s="34">
        <v>7</v>
      </c>
      <c r="D343" s="34">
        <v>7479</v>
      </c>
      <c r="E343" s="15" t="s">
        <v>853</v>
      </c>
      <c r="F343" s="34" t="s">
        <v>1594</v>
      </c>
      <c r="G343" s="34" t="s">
        <v>1595</v>
      </c>
      <c r="H343" s="34" t="s">
        <v>754</v>
      </c>
      <c r="I343" s="34" t="s">
        <v>384</v>
      </c>
      <c r="J343" s="34" t="s">
        <v>444</v>
      </c>
      <c r="K343" s="34" t="s">
        <v>533</v>
      </c>
      <c r="L343" s="34">
        <v>52353</v>
      </c>
    </row>
    <row r="344" spans="1:12" x14ac:dyDescent="0.3">
      <c r="A344" s="34" t="s">
        <v>1596</v>
      </c>
      <c r="B344" s="34" t="s">
        <v>506</v>
      </c>
      <c r="C344" s="34">
        <v>9</v>
      </c>
      <c r="D344" s="34">
        <v>7674</v>
      </c>
      <c r="E344" s="15" t="s">
        <v>1597</v>
      </c>
      <c r="F344" s="34" t="s">
        <v>1598</v>
      </c>
      <c r="G344" s="34" t="s">
        <v>1599</v>
      </c>
      <c r="H344" s="34" t="s">
        <v>694</v>
      </c>
      <c r="I344" s="34" t="s">
        <v>384</v>
      </c>
      <c r="J344" s="34" t="s">
        <v>457</v>
      </c>
      <c r="K344" s="34" t="s">
        <v>533</v>
      </c>
      <c r="L344" s="34">
        <v>69066</v>
      </c>
    </row>
    <row r="345" spans="1:12" x14ac:dyDescent="0.3">
      <c r="A345" s="34" t="s">
        <v>1600</v>
      </c>
      <c r="B345" s="34" t="s">
        <v>506</v>
      </c>
      <c r="C345" s="34">
        <v>8</v>
      </c>
      <c r="D345" s="34">
        <v>11299</v>
      </c>
      <c r="E345" s="15" t="s">
        <v>756</v>
      </c>
      <c r="F345" s="34" t="s">
        <v>1601</v>
      </c>
      <c r="G345" s="34" t="s">
        <v>462</v>
      </c>
      <c r="H345" s="34" t="s">
        <v>451</v>
      </c>
      <c r="I345" s="34" t="s">
        <v>384</v>
      </c>
      <c r="J345" s="34" t="s">
        <v>444</v>
      </c>
      <c r="K345" s="34" t="s">
        <v>445</v>
      </c>
      <c r="L345" s="34">
        <v>90392</v>
      </c>
    </row>
    <row r="346" spans="1:12" x14ac:dyDescent="0.3">
      <c r="A346" s="34" t="s">
        <v>1602</v>
      </c>
      <c r="B346" s="34" t="s">
        <v>510</v>
      </c>
      <c r="C346" s="34">
        <v>6</v>
      </c>
      <c r="D346" s="34">
        <v>13466</v>
      </c>
      <c r="E346" s="15" t="s">
        <v>1603</v>
      </c>
      <c r="F346" s="34" t="s">
        <v>1604</v>
      </c>
      <c r="G346" s="34" t="s">
        <v>1605</v>
      </c>
      <c r="H346" s="34" t="s">
        <v>694</v>
      </c>
      <c r="I346" s="34" t="s">
        <v>384</v>
      </c>
      <c r="J346" s="34" t="s">
        <v>444</v>
      </c>
      <c r="K346" s="34" t="s">
        <v>178</v>
      </c>
      <c r="L346" s="34">
        <v>80796</v>
      </c>
    </row>
    <row r="347" spans="1:12" x14ac:dyDescent="0.3">
      <c r="A347" s="34" t="s">
        <v>1606</v>
      </c>
      <c r="B347" s="34" t="s">
        <v>447</v>
      </c>
      <c r="C347" s="34">
        <v>4</v>
      </c>
      <c r="D347" s="34">
        <v>19627</v>
      </c>
      <c r="E347" s="15" t="s">
        <v>1607</v>
      </c>
      <c r="F347" s="34" t="s">
        <v>1608</v>
      </c>
      <c r="G347" s="34" t="s">
        <v>1609</v>
      </c>
      <c r="H347" s="34" t="s">
        <v>499</v>
      </c>
      <c r="I347" s="34" t="s">
        <v>384</v>
      </c>
      <c r="J347" s="34" t="s">
        <v>470</v>
      </c>
      <c r="K347" s="34" t="s">
        <v>533</v>
      </c>
      <c r="L347" s="34">
        <v>78508</v>
      </c>
    </row>
    <row r="348" spans="1:12" x14ac:dyDescent="0.3">
      <c r="A348" s="34" t="s">
        <v>1610</v>
      </c>
      <c r="B348" s="34" t="s">
        <v>495</v>
      </c>
      <c r="C348" s="34">
        <v>3</v>
      </c>
      <c r="D348" s="34">
        <v>6835</v>
      </c>
      <c r="E348" s="15" t="s">
        <v>1176</v>
      </c>
      <c r="F348" s="34" t="s">
        <v>1611</v>
      </c>
      <c r="G348" s="34" t="s">
        <v>1612</v>
      </c>
      <c r="H348" s="34" t="s">
        <v>583</v>
      </c>
      <c r="I348" s="34" t="s">
        <v>384</v>
      </c>
      <c r="J348" s="34" t="s">
        <v>444</v>
      </c>
      <c r="K348" s="34" t="s">
        <v>489</v>
      </c>
      <c r="L348" s="34">
        <v>20505</v>
      </c>
    </row>
    <row r="349" spans="1:12" x14ac:dyDescent="0.3">
      <c r="A349" s="34" t="s">
        <v>1613</v>
      </c>
      <c r="B349" s="34" t="s">
        <v>484</v>
      </c>
      <c r="C349" s="34">
        <v>4</v>
      </c>
      <c r="D349" s="34">
        <v>17179</v>
      </c>
      <c r="E349" s="15" t="s">
        <v>1164</v>
      </c>
      <c r="F349" s="34" t="s">
        <v>1614</v>
      </c>
      <c r="G349" s="34" t="s">
        <v>964</v>
      </c>
      <c r="H349" s="34" t="s">
        <v>443</v>
      </c>
      <c r="I349" s="34" t="s">
        <v>384</v>
      </c>
      <c r="J349" s="34" t="s">
        <v>457</v>
      </c>
      <c r="K349" s="34" t="s">
        <v>533</v>
      </c>
      <c r="L349" s="34">
        <v>68716</v>
      </c>
    </row>
    <row r="350" spans="1:12" x14ac:dyDescent="0.3">
      <c r="A350" s="34" t="s">
        <v>1615</v>
      </c>
      <c r="B350" s="34" t="s">
        <v>510</v>
      </c>
      <c r="C350" s="34">
        <v>3</v>
      </c>
      <c r="D350" s="34">
        <v>14019</v>
      </c>
      <c r="E350" s="15" t="s">
        <v>1616</v>
      </c>
      <c r="F350" s="34" t="s">
        <v>1617</v>
      </c>
      <c r="G350" s="34" t="s">
        <v>848</v>
      </c>
      <c r="H350" s="34" t="s">
        <v>560</v>
      </c>
      <c r="I350" s="34" t="s">
        <v>384</v>
      </c>
      <c r="J350" s="34" t="s">
        <v>457</v>
      </c>
      <c r="K350" s="34" t="s">
        <v>533</v>
      </c>
      <c r="L350" s="34">
        <v>42057</v>
      </c>
    </row>
    <row r="351" spans="1:12" x14ac:dyDescent="0.3">
      <c r="A351" s="34" t="s">
        <v>1618</v>
      </c>
      <c r="B351" s="34" t="s">
        <v>439</v>
      </c>
      <c r="C351" s="34">
        <v>6</v>
      </c>
      <c r="D351" s="34">
        <v>5454</v>
      </c>
      <c r="E351" s="15" t="s">
        <v>1619</v>
      </c>
      <c r="F351" s="34" t="s">
        <v>1620</v>
      </c>
      <c r="G351" s="34" t="s">
        <v>606</v>
      </c>
      <c r="H351" s="34" t="s">
        <v>618</v>
      </c>
      <c r="I351" s="34" t="s">
        <v>384</v>
      </c>
      <c r="J351" s="34" t="s">
        <v>457</v>
      </c>
      <c r="K351" s="34" t="s">
        <v>489</v>
      </c>
      <c r="L351" s="34">
        <v>32724</v>
      </c>
    </row>
    <row r="352" spans="1:12" x14ac:dyDescent="0.3">
      <c r="A352" s="34" t="s">
        <v>1621</v>
      </c>
      <c r="B352" s="34" t="s">
        <v>510</v>
      </c>
      <c r="C352" s="34">
        <v>5</v>
      </c>
      <c r="D352" s="34">
        <v>7945</v>
      </c>
      <c r="E352" s="15" t="s">
        <v>1471</v>
      </c>
      <c r="F352" s="34" t="s">
        <v>1622</v>
      </c>
      <c r="G352" s="34" t="s">
        <v>1605</v>
      </c>
      <c r="H352" s="34" t="s">
        <v>443</v>
      </c>
      <c r="I352" s="34" t="s">
        <v>384</v>
      </c>
      <c r="J352" s="34" t="s">
        <v>470</v>
      </c>
      <c r="K352" s="34" t="s">
        <v>178</v>
      </c>
      <c r="L352" s="34">
        <v>39725</v>
      </c>
    </row>
    <row r="353" spans="1:12" x14ac:dyDescent="0.3">
      <c r="A353" s="34" t="s">
        <v>1623</v>
      </c>
      <c r="B353" s="34" t="s">
        <v>506</v>
      </c>
      <c r="C353" s="34">
        <v>2</v>
      </c>
      <c r="D353" s="34">
        <v>5901</v>
      </c>
      <c r="E353" s="15" t="s">
        <v>592</v>
      </c>
      <c r="F353" s="34" t="s">
        <v>1624</v>
      </c>
      <c r="G353" s="34" t="s">
        <v>517</v>
      </c>
      <c r="H353" s="34" t="s">
        <v>639</v>
      </c>
      <c r="I353" s="34" t="s">
        <v>384</v>
      </c>
      <c r="J353" s="34" t="s">
        <v>457</v>
      </c>
      <c r="K353" s="34" t="s">
        <v>178</v>
      </c>
      <c r="L353" s="34">
        <v>11802</v>
      </c>
    </row>
    <row r="354" spans="1:12" x14ac:dyDescent="0.3">
      <c r="A354" s="34" t="s">
        <v>1625</v>
      </c>
      <c r="B354" s="34" t="s">
        <v>495</v>
      </c>
      <c r="C354" s="34">
        <v>6</v>
      </c>
      <c r="D354" s="34">
        <v>5881</v>
      </c>
      <c r="E354" s="15" t="s">
        <v>1626</v>
      </c>
      <c r="F354" s="34" t="s">
        <v>1627</v>
      </c>
      <c r="G354" s="34" t="s">
        <v>551</v>
      </c>
      <c r="H354" s="34" t="s">
        <v>499</v>
      </c>
      <c r="I354" s="34" t="s">
        <v>384</v>
      </c>
      <c r="J354" s="34" t="s">
        <v>470</v>
      </c>
      <c r="K354" s="34" t="s">
        <v>471</v>
      </c>
      <c r="L354" s="34">
        <v>35286</v>
      </c>
    </row>
    <row r="355" spans="1:12" x14ac:dyDescent="0.3">
      <c r="A355" s="34" t="s">
        <v>1628</v>
      </c>
      <c r="B355" s="34" t="s">
        <v>439</v>
      </c>
      <c r="C355" s="34">
        <v>9</v>
      </c>
      <c r="D355" s="34">
        <v>9831</v>
      </c>
      <c r="E355" s="15" t="s">
        <v>1629</v>
      </c>
      <c r="F355" s="34" t="s">
        <v>1630</v>
      </c>
      <c r="G355" s="34" t="s">
        <v>964</v>
      </c>
      <c r="H355" s="34" t="s">
        <v>499</v>
      </c>
      <c r="I355" s="34" t="s">
        <v>384</v>
      </c>
      <c r="J355" s="34" t="s">
        <v>444</v>
      </c>
      <c r="K355" s="34" t="s">
        <v>533</v>
      </c>
      <c r="L355" s="34">
        <v>88479</v>
      </c>
    </row>
    <row r="356" spans="1:12" x14ac:dyDescent="0.3">
      <c r="A356" s="34" t="s">
        <v>1631</v>
      </c>
      <c r="B356" s="34" t="s">
        <v>465</v>
      </c>
      <c r="C356" s="34">
        <v>4</v>
      </c>
      <c r="D356" s="34">
        <v>4792</v>
      </c>
      <c r="E356" s="15" t="s">
        <v>620</v>
      </c>
      <c r="F356" s="34" t="s">
        <v>1632</v>
      </c>
      <c r="G356" s="34" t="s">
        <v>1431</v>
      </c>
      <c r="H356" s="34" t="s">
        <v>504</v>
      </c>
      <c r="I356" s="34" t="s">
        <v>384</v>
      </c>
      <c r="J356" s="34" t="s">
        <v>444</v>
      </c>
      <c r="K356" s="34" t="s">
        <v>178</v>
      </c>
      <c r="L356" s="34">
        <v>19168</v>
      </c>
    </row>
    <row r="357" spans="1:12" x14ac:dyDescent="0.3">
      <c r="A357" s="34" t="s">
        <v>1633</v>
      </c>
      <c r="B357" s="34" t="s">
        <v>506</v>
      </c>
      <c r="C357" s="34">
        <v>6</v>
      </c>
      <c r="D357" s="34">
        <v>7940</v>
      </c>
      <c r="E357" s="15" t="s">
        <v>809</v>
      </c>
      <c r="F357" s="34" t="s">
        <v>1634</v>
      </c>
      <c r="G357" s="34" t="s">
        <v>770</v>
      </c>
      <c r="H357" s="34" t="s">
        <v>488</v>
      </c>
      <c r="I357" s="34" t="s">
        <v>384</v>
      </c>
      <c r="J357" s="34" t="s">
        <v>470</v>
      </c>
      <c r="K357" s="34" t="s">
        <v>471</v>
      </c>
      <c r="L357" s="34">
        <v>47640</v>
      </c>
    </row>
    <row r="358" spans="1:12" x14ac:dyDescent="0.3">
      <c r="A358" s="34" t="s">
        <v>1635</v>
      </c>
      <c r="B358" s="34" t="s">
        <v>524</v>
      </c>
      <c r="C358" s="34">
        <v>9</v>
      </c>
      <c r="D358" s="34">
        <v>2279</v>
      </c>
      <c r="E358" s="15" t="s">
        <v>1636</v>
      </c>
      <c r="F358" s="34" t="s">
        <v>1637</v>
      </c>
      <c r="G358" s="34" t="s">
        <v>547</v>
      </c>
      <c r="H358" s="34" t="s">
        <v>499</v>
      </c>
      <c r="I358" s="34" t="s">
        <v>384</v>
      </c>
      <c r="J358" s="34" t="s">
        <v>470</v>
      </c>
      <c r="K358" s="34" t="s">
        <v>533</v>
      </c>
      <c r="L358" s="34">
        <v>20511</v>
      </c>
    </row>
    <row r="359" spans="1:12" x14ac:dyDescent="0.3">
      <c r="A359" s="34" t="s">
        <v>1638</v>
      </c>
      <c r="B359" s="34" t="s">
        <v>510</v>
      </c>
      <c r="C359" s="34">
        <v>5</v>
      </c>
      <c r="D359" s="34">
        <v>11338</v>
      </c>
      <c r="E359" s="15" t="s">
        <v>1639</v>
      </c>
      <c r="F359" s="34" t="s">
        <v>1640</v>
      </c>
      <c r="G359" s="34" t="s">
        <v>1489</v>
      </c>
      <c r="H359" s="34" t="s">
        <v>463</v>
      </c>
      <c r="I359" s="34" t="s">
        <v>384</v>
      </c>
      <c r="J359" s="34" t="s">
        <v>470</v>
      </c>
      <c r="K359" s="34" t="s">
        <v>489</v>
      </c>
      <c r="L359" s="34">
        <v>56690</v>
      </c>
    </row>
    <row r="360" spans="1:12" x14ac:dyDescent="0.3">
      <c r="A360" s="34" t="s">
        <v>1641</v>
      </c>
      <c r="B360" s="34" t="s">
        <v>447</v>
      </c>
      <c r="C360" s="34">
        <v>2</v>
      </c>
      <c r="D360" s="34">
        <v>13817</v>
      </c>
      <c r="E360" s="15" t="s">
        <v>1642</v>
      </c>
      <c r="F360" s="34" t="s">
        <v>1643</v>
      </c>
      <c r="G360" s="34" t="s">
        <v>1510</v>
      </c>
      <c r="H360" s="34" t="s">
        <v>583</v>
      </c>
      <c r="I360" s="34" t="s">
        <v>384</v>
      </c>
      <c r="J360" s="34" t="s">
        <v>470</v>
      </c>
      <c r="K360" s="34" t="s">
        <v>178</v>
      </c>
      <c r="L360" s="34">
        <v>27634</v>
      </c>
    </row>
    <row r="361" spans="1:12" x14ac:dyDescent="0.3">
      <c r="A361" s="34" t="s">
        <v>1644</v>
      </c>
      <c r="B361" s="34" t="s">
        <v>506</v>
      </c>
      <c r="C361" s="34">
        <v>8</v>
      </c>
      <c r="D361" s="34">
        <v>15116</v>
      </c>
      <c r="E361" s="15" t="s">
        <v>1645</v>
      </c>
      <c r="F361" s="34" t="s">
        <v>1646</v>
      </c>
      <c r="G361" s="34" t="s">
        <v>1009</v>
      </c>
      <c r="H361" s="34" t="s">
        <v>443</v>
      </c>
      <c r="I361" s="34" t="s">
        <v>384</v>
      </c>
      <c r="J361" s="34" t="s">
        <v>470</v>
      </c>
      <c r="K361" s="34" t="s">
        <v>533</v>
      </c>
      <c r="L361" s="34">
        <v>120928</v>
      </c>
    </row>
    <row r="362" spans="1:12" x14ac:dyDescent="0.3">
      <c r="A362" s="34" t="s">
        <v>1647</v>
      </c>
      <c r="B362" s="34" t="s">
        <v>465</v>
      </c>
      <c r="C362" s="34">
        <v>9</v>
      </c>
      <c r="D362" s="34">
        <v>2815</v>
      </c>
      <c r="E362" s="15" t="s">
        <v>473</v>
      </c>
      <c r="F362" s="34" t="s">
        <v>1648</v>
      </c>
      <c r="G362" s="34" t="s">
        <v>1649</v>
      </c>
      <c r="H362" s="34" t="s">
        <v>560</v>
      </c>
      <c r="I362" s="34" t="s">
        <v>384</v>
      </c>
      <c r="J362" s="34" t="s">
        <v>457</v>
      </c>
      <c r="K362" s="34" t="s">
        <v>533</v>
      </c>
      <c r="L362" s="34">
        <v>25335</v>
      </c>
    </row>
    <row r="363" spans="1:12" x14ac:dyDescent="0.3">
      <c r="A363" s="34" t="s">
        <v>1650</v>
      </c>
      <c r="B363" s="34" t="s">
        <v>478</v>
      </c>
      <c r="C363" s="34">
        <v>2</v>
      </c>
      <c r="D363" s="34">
        <v>11871</v>
      </c>
      <c r="E363" s="15" t="s">
        <v>1651</v>
      </c>
      <c r="F363" s="34" t="s">
        <v>1652</v>
      </c>
      <c r="G363" s="34" t="s">
        <v>1101</v>
      </c>
      <c r="H363" s="34" t="s">
        <v>746</v>
      </c>
      <c r="I363" s="34" t="s">
        <v>384</v>
      </c>
      <c r="J363" s="34" t="s">
        <v>470</v>
      </c>
      <c r="K363" s="34" t="s">
        <v>489</v>
      </c>
      <c r="L363" s="34">
        <v>23742</v>
      </c>
    </row>
    <row r="364" spans="1:12" x14ac:dyDescent="0.3">
      <c r="A364" s="34" t="s">
        <v>1653</v>
      </c>
      <c r="B364" s="34" t="s">
        <v>506</v>
      </c>
      <c r="C364" s="34">
        <v>3</v>
      </c>
      <c r="D364" s="34">
        <v>8081</v>
      </c>
      <c r="E364" s="15" t="s">
        <v>1300</v>
      </c>
      <c r="F364" s="34" t="s">
        <v>1654</v>
      </c>
      <c r="G364" s="34" t="s">
        <v>508</v>
      </c>
      <c r="H364" s="34" t="s">
        <v>463</v>
      </c>
      <c r="I364" s="34" t="s">
        <v>384</v>
      </c>
      <c r="J364" s="34" t="s">
        <v>470</v>
      </c>
      <c r="K364" s="34" t="s">
        <v>533</v>
      </c>
      <c r="L364" s="34">
        <v>24243</v>
      </c>
    </row>
    <row r="365" spans="1:12" x14ac:dyDescent="0.3">
      <c r="A365" s="34" t="s">
        <v>1655</v>
      </c>
      <c r="B365" s="34" t="s">
        <v>510</v>
      </c>
      <c r="C365" s="34">
        <v>2</v>
      </c>
      <c r="D365" s="34">
        <v>4654</v>
      </c>
      <c r="E365" s="15" t="s">
        <v>1083</v>
      </c>
      <c r="F365" s="34" t="s">
        <v>1656</v>
      </c>
      <c r="G365" s="34" t="s">
        <v>1254</v>
      </c>
      <c r="H365" s="34" t="s">
        <v>651</v>
      </c>
      <c r="I365" s="34" t="s">
        <v>384</v>
      </c>
      <c r="J365" s="34" t="s">
        <v>470</v>
      </c>
      <c r="K365" s="34" t="s">
        <v>471</v>
      </c>
      <c r="L365" s="34">
        <v>9308</v>
      </c>
    </row>
    <row r="366" spans="1:12" x14ac:dyDescent="0.3">
      <c r="A366" s="34" t="s">
        <v>1657</v>
      </c>
      <c r="B366" s="34" t="s">
        <v>524</v>
      </c>
      <c r="C366" s="34">
        <v>2</v>
      </c>
      <c r="D366" s="34">
        <v>12213</v>
      </c>
      <c r="E366" s="15" t="s">
        <v>1059</v>
      </c>
      <c r="F366" s="34" t="s">
        <v>1658</v>
      </c>
      <c r="G366" s="34" t="s">
        <v>1239</v>
      </c>
      <c r="H366" s="34" t="s">
        <v>504</v>
      </c>
      <c r="I366" s="34" t="s">
        <v>384</v>
      </c>
      <c r="J366" s="34" t="s">
        <v>457</v>
      </c>
      <c r="K366" s="34" t="s">
        <v>489</v>
      </c>
      <c r="L366" s="34">
        <v>24426</v>
      </c>
    </row>
    <row r="367" spans="1:12" x14ac:dyDescent="0.3">
      <c r="A367" s="34" t="s">
        <v>1659</v>
      </c>
      <c r="B367" s="34" t="s">
        <v>484</v>
      </c>
      <c r="C367" s="34">
        <v>8</v>
      </c>
      <c r="D367" s="34">
        <v>19194</v>
      </c>
      <c r="E367" s="15" t="s">
        <v>1660</v>
      </c>
      <c r="F367" s="34" t="s">
        <v>1661</v>
      </c>
      <c r="G367" s="34" t="s">
        <v>1662</v>
      </c>
      <c r="H367" s="34" t="s">
        <v>518</v>
      </c>
      <c r="I367" s="34" t="s">
        <v>384</v>
      </c>
      <c r="J367" s="34" t="s">
        <v>470</v>
      </c>
      <c r="K367" s="34" t="s">
        <v>445</v>
      </c>
      <c r="L367" s="34">
        <v>153552</v>
      </c>
    </row>
    <row r="368" spans="1:12" x14ac:dyDescent="0.3">
      <c r="A368" s="34" t="s">
        <v>1663</v>
      </c>
      <c r="B368" s="34" t="s">
        <v>465</v>
      </c>
      <c r="C368" s="34">
        <v>6</v>
      </c>
      <c r="D368" s="34">
        <v>2512</v>
      </c>
      <c r="E368" s="15" t="s">
        <v>511</v>
      </c>
      <c r="F368" s="34" t="s">
        <v>1664</v>
      </c>
      <c r="G368" s="34" t="s">
        <v>1350</v>
      </c>
      <c r="H368" s="34" t="s">
        <v>514</v>
      </c>
      <c r="I368" s="34" t="s">
        <v>384</v>
      </c>
      <c r="J368" s="34" t="s">
        <v>470</v>
      </c>
      <c r="K368" s="34" t="s">
        <v>471</v>
      </c>
      <c r="L368" s="34">
        <v>15072</v>
      </c>
    </row>
    <row r="369" spans="1:12" x14ac:dyDescent="0.3">
      <c r="A369" s="34" t="s">
        <v>1665</v>
      </c>
      <c r="B369" s="34" t="s">
        <v>439</v>
      </c>
      <c r="C369" s="34">
        <v>1</v>
      </c>
      <c r="D369" s="34">
        <v>6829</v>
      </c>
      <c r="E369" s="15" t="s">
        <v>696</v>
      </c>
      <c r="F369" s="34" t="s">
        <v>1666</v>
      </c>
      <c r="G369" s="34" t="s">
        <v>1182</v>
      </c>
      <c r="H369" s="34" t="s">
        <v>528</v>
      </c>
      <c r="I369" s="34" t="s">
        <v>384</v>
      </c>
      <c r="J369" s="34" t="s">
        <v>444</v>
      </c>
      <c r="K369" s="34" t="s">
        <v>489</v>
      </c>
      <c r="L369" s="34">
        <v>6829</v>
      </c>
    </row>
    <row r="370" spans="1:12" x14ac:dyDescent="0.3">
      <c r="A370" s="34" t="s">
        <v>1667</v>
      </c>
      <c r="B370" s="34" t="s">
        <v>439</v>
      </c>
      <c r="C370" s="34">
        <v>5</v>
      </c>
      <c r="D370" s="34">
        <v>5139</v>
      </c>
      <c r="E370" s="15" t="s">
        <v>1518</v>
      </c>
      <c r="F370" s="34" t="s">
        <v>1668</v>
      </c>
      <c r="G370" s="34" t="s">
        <v>1669</v>
      </c>
      <c r="H370" s="34" t="s">
        <v>682</v>
      </c>
      <c r="I370" s="34" t="s">
        <v>384</v>
      </c>
      <c r="J370" s="34" t="s">
        <v>457</v>
      </c>
      <c r="K370" s="34" t="s">
        <v>489</v>
      </c>
      <c r="L370" s="34">
        <v>25695</v>
      </c>
    </row>
    <row r="371" spans="1:12" x14ac:dyDescent="0.3">
      <c r="A371" s="34" t="s">
        <v>1670</v>
      </c>
      <c r="B371" s="34" t="s">
        <v>484</v>
      </c>
      <c r="C371" s="34">
        <v>2</v>
      </c>
      <c r="D371" s="34">
        <v>6383</v>
      </c>
      <c r="E371" s="15" t="s">
        <v>1626</v>
      </c>
      <c r="F371" s="34" t="s">
        <v>1671</v>
      </c>
      <c r="G371" s="34" t="s">
        <v>953</v>
      </c>
      <c r="H371" s="34" t="s">
        <v>518</v>
      </c>
      <c r="I371" s="34" t="s">
        <v>384</v>
      </c>
      <c r="J371" s="34" t="s">
        <v>457</v>
      </c>
      <c r="K371" s="34" t="s">
        <v>445</v>
      </c>
      <c r="L371" s="34">
        <v>12766</v>
      </c>
    </row>
    <row r="372" spans="1:12" x14ac:dyDescent="0.3">
      <c r="A372" s="34" t="s">
        <v>1672</v>
      </c>
      <c r="B372" s="34" t="s">
        <v>465</v>
      </c>
      <c r="C372" s="34">
        <v>2</v>
      </c>
      <c r="D372" s="34">
        <v>4845</v>
      </c>
      <c r="E372" s="15" t="s">
        <v>1673</v>
      </c>
      <c r="F372" s="34" t="s">
        <v>1674</v>
      </c>
      <c r="G372" s="34" t="s">
        <v>1675</v>
      </c>
      <c r="H372" s="34" t="s">
        <v>651</v>
      </c>
      <c r="I372" s="34" t="s">
        <v>384</v>
      </c>
      <c r="J372" s="34" t="s">
        <v>457</v>
      </c>
      <c r="K372" s="34" t="s">
        <v>533</v>
      </c>
      <c r="L372" s="34">
        <v>9690</v>
      </c>
    </row>
    <row r="373" spans="1:12" x14ac:dyDescent="0.3">
      <c r="A373" s="34" t="s">
        <v>1676</v>
      </c>
      <c r="B373" s="34" t="s">
        <v>506</v>
      </c>
      <c r="C373" s="34">
        <v>7</v>
      </c>
      <c r="D373" s="34">
        <v>8160</v>
      </c>
      <c r="E373" s="15" t="s">
        <v>1677</v>
      </c>
      <c r="F373" s="34" t="s">
        <v>1678</v>
      </c>
      <c r="G373" s="34" t="s">
        <v>1679</v>
      </c>
      <c r="H373" s="34" t="s">
        <v>618</v>
      </c>
      <c r="I373" s="34" t="s">
        <v>384</v>
      </c>
      <c r="J373" s="34" t="s">
        <v>457</v>
      </c>
      <c r="K373" s="34" t="s">
        <v>533</v>
      </c>
      <c r="L373" s="34">
        <v>57120</v>
      </c>
    </row>
    <row r="374" spans="1:12" x14ac:dyDescent="0.3">
      <c r="A374" s="34" t="s">
        <v>1680</v>
      </c>
      <c r="B374" s="34" t="s">
        <v>524</v>
      </c>
      <c r="C374" s="34">
        <v>7</v>
      </c>
      <c r="D374" s="34">
        <v>13749</v>
      </c>
      <c r="E374" s="15" t="s">
        <v>1341</v>
      </c>
      <c r="F374" s="34" t="s">
        <v>1681</v>
      </c>
      <c r="G374" s="34" t="s">
        <v>1682</v>
      </c>
      <c r="H374" s="34" t="s">
        <v>710</v>
      </c>
      <c r="I374" s="34" t="s">
        <v>384</v>
      </c>
      <c r="J374" s="34" t="s">
        <v>470</v>
      </c>
      <c r="K374" s="34" t="s">
        <v>533</v>
      </c>
      <c r="L374" s="34">
        <v>96243</v>
      </c>
    </row>
    <row r="375" spans="1:12" x14ac:dyDescent="0.3">
      <c r="A375" s="34" t="s">
        <v>1683</v>
      </c>
      <c r="B375" s="34" t="s">
        <v>506</v>
      </c>
      <c r="C375" s="34">
        <v>1</v>
      </c>
      <c r="D375" s="34">
        <v>5409</v>
      </c>
      <c r="E375" s="15" t="s">
        <v>802</v>
      </c>
      <c r="F375" s="34" t="s">
        <v>1684</v>
      </c>
      <c r="G375" s="34" t="s">
        <v>1105</v>
      </c>
      <c r="H375" s="34" t="s">
        <v>463</v>
      </c>
      <c r="I375" s="34" t="s">
        <v>384</v>
      </c>
      <c r="J375" s="34" t="s">
        <v>444</v>
      </c>
      <c r="K375" s="34" t="s">
        <v>489</v>
      </c>
      <c r="L375" s="34">
        <v>5409</v>
      </c>
    </row>
    <row r="376" spans="1:12" x14ac:dyDescent="0.3">
      <c r="A376" s="34" t="s">
        <v>1685</v>
      </c>
      <c r="B376" s="34" t="s">
        <v>447</v>
      </c>
      <c r="C376" s="34">
        <v>3</v>
      </c>
      <c r="D376" s="34">
        <v>13063</v>
      </c>
      <c r="E376" s="15" t="s">
        <v>1686</v>
      </c>
      <c r="F376" s="34" t="s">
        <v>1687</v>
      </c>
      <c r="G376" s="34" t="s">
        <v>1258</v>
      </c>
      <c r="H376" s="34" t="s">
        <v>451</v>
      </c>
      <c r="I376" s="34" t="s">
        <v>384</v>
      </c>
      <c r="J376" s="34" t="s">
        <v>457</v>
      </c>
      <c r="K376" s="34" t="s">
        <v>445</v>
      </c>
      <c r="L376" s="34">
        <v>39189</v>
      </c>
    </row>
    <row r="377" spans="1:12" x14ac:dyDescent="0.3">
      <c r="A377" s="34" t="s">
        <v>1688</v>
      </c>
      <c r="B377" s="34" t="s">
        <v>465</v>
      </c>
      <c r="C377" s="34">
        <v>4</v>
      </c>
      <c r="D377" s="34">
        <v>6989</v>
      </c>
      <c r="E377" s="15" t="s">
        <v>1689</v>
      </c>
      <c r="F377" s="34" t="s">
        <v>1690</v>
      </c>
      <c r="G377" s="34" t="s">
        <v>938</v>
      </c>
      <c r="H377" s="34" t="s">
        <v>560</v>
      </c>
      <c r="I377" s="34" t="s">
        <v>384</v>
      </c>
      <c r="J377" s="34" t="s">
        <v>470</v>
      </c>
      <c r="K377" s="34" t="s">
        <v>533</v>
      </c>
      <c r="L377" s="34">
        <v>27956</v>
      </c>
    </row>
    <row r="378" spans="1:12" x14ac:dyDescent="0.3">
      <c r="A378" s="34" t="s">
        <v>1691</v>
      </c>
      <c r="B378" s="34" t="s">
        <v>484</v>
      </c>
      <c r="C378" s="34">
        <v>8</v>
      </c>
      <c r="D378" s="34">
        <v>11515</v>
      </c>
      <c r="E378" s="15" t="s">
        <v>1692</v>
      </c>
      <c r="F378" s="34" t="s">
        <v>1693</v>
      </c>
      <c r="G378" s="34" t="s">
        <v>1006</v>
      </c>
      <c r="H378" s="34" t="s">
        <v>476</v>
      </c>
      <c r="I378" s="34" t="s">
        <v>384</v>
      </c>
      <c r="J378" s="34" t="s">
        <v>444</v>
      </c>
      <c r="K378" s="34" t="s">
        <v>445</v>
      </c>
      <c r="L378" s="34">
        <v>92120</v>
      </c>
    </row>
    <row r="379" spans="1:12" x14ac:dyDescent="0.3">
      <c r="A379" s="34" t="s">
        <v>1694</v>
      </c>
      <c r="B379" s="34" t="s">
        <v>524</v>
      </c>
      <c r="C379" s="34">
        <v>3</v>
      </c>
      <c r="D379" s="34">
        <v>8467</v>
      </c>
      <c r="E379" s="15" t="s">
        <v>1083</v>
      </c>
      <c r="F379" s="34" t="s">
        <v>1695</v>
      </c>
      <c r="G379" s="34" t="s">
        <v>1696</v>
      </c>
      <c r="H379" s="34" t="s">
        <v>583</v>
      </c>
      <c r="I379" s="34" t="s">
        <v>384</v>
      </c>
      <c r="J379" s="34" t="s">
        <v>457</v>
      </c>
      <c r="K379" s="34" t="s">
        <v>471</v>
      </c>
      <c r="L379" s="34">
        <v>25401</v>
      </c>
    </row>
    <row r="380" spans="1:12" x14ac:dyDescent="0.3">
      <c r="A380" s="34" t="s">
        <v>1697</v>
      </c>
      <c r="B380" s="34" t="s">
        <v>510</v>
      </c>
      <c r="C380" s="34">
        <v>5</v>
      </c>
      <c r="D380" s="34">
        <v>14820</v>
      </c>
      <c r="E380" s="15" t="s">
        <v>1194</v>
      </c>
      <c r="F380" s="34" t="s">
        <v>1698</v>
      </c>
      <c r="G380" s="34" t="s">
        <v>1186</v>
      </c>
      <c r="H380" s="34" t="s">
        <v>583</v>
      </c>
      <c r="I380" s="34" t="s">
        <v>384</v>
      </c>
      <c r="J380" s="34" t="s">
        <v>457</v>
      </c>
      <c r="K380" s="34" t="s">
        <v>489</v>
      </c>
      <c r="L380" s="34">
        <v>74100</v>
      </c>
    </row>
    <row r="381" spans="1:12" x14ac:dyDescent="0.3">
      <c r="A381" s="34" t="s">
        <v>1699</v>
      </c>
      <c r="B381" s="34" t="s">
        <v>506</v>
      </c>
      <c r="C381" s="34">
        <v>1</v>
      </c>
      <c r="D381" s="34">
        <v>14763</v>
      </c>
      <c r="E381" s="15" t="s">
        <v>719</v>
      </c>
      <c r="F381" s="34" t="s">
        <v>1700</v>
      </c>
      <c r="G381" s="34" t="s">
        <v>910</v>
      </c>
      <c r="H381" s="34" t="s">
        <v>560</v>
      </c>
      <c r="I381" s="34" t="s">
        <v>384</v>
      </c>
      <c r="J381" s="34" t="s">
        <v>457</v>
      </c>
      <c r="K381" s="34" t="s">
        <v>471</v>
      </c>
      <c r="L381" s="34">
        <v>14763</v>
      </c>
    </row>
    <row r="382" spans="1:12" x14ac:dyDescent="0.3">
      <c r="A382" s="34" t="s">
        <v>1701</v>
      </c>
      <c r="B382" s="34" t="s">
        <v>495</v>
      </c>
      <c r="C382" s="34">
        <v>7</v>
      </c>
      <c r="D382" s="34">
        <v>2511</v>
      </c>
      <c r="E382" s="15" t="s">
        <v>973</v>
      </c>
      <c r="F382" s="34" t="s">
        <v>1702</v>
      </c>
      <c r="G382" s="34" t="s">
        <v>1703</v>
      </c>
      <c r="H382" s="34" t="s">
        <v>504</v>
      </c>
      <c r="I382" s="34" t="s">
        <v>384</v>
      </c>
      <c r="J382" s="34" t="s">
        <v>470</v>
      </c>
      <c r="K382" s="34" t="s">
        <v>471</v>
      </c>
      <c r="L382" s="34">
        <v>17577</v>
      </c>
    </row>
    <row r="383" spans="1:12" x14ac:dyDescent="0.3">
      <c r="A383" s="34" t="s">
        <v>1704</v>
      </c>
      <c r="B383" s="34" t="s">
        <v>478</v>
      </c>
      <c r="C383" s="34">
        <v>3</v>
      </c>
      <c r="D383" s="34">
        <v>15788</v>
      </c>
      <c r="E383" s="15" t="s">
        <v>1705</v>
      </c>
      <c r="F383" s="34" t="s">
        <v>1706</v>
      </c>
      <c r="G383" s="34" t="s">
        <v>686</v>
      </c>
      <c r="H383" s="34" t="s">
        <v>583</v>
      </c>
      <c r="I383" s="34" t="s">
        <v>384</v>
      </c>
      <c r="J383" s="34" t="s">
        <v>444</v>
      </c>
      <c r="K383" s="34" t="s">
        <v>445</v>
      </c>
      <c r="L383" s="34">
        <v>47364</v>
      </c>
    </row>
    <row r="384" spans="1:12" x14ac:dyDescent="0.3">
      <c r="A384" s="34" t="s">
        <v>1707</v>
      </c>
      <c r="B384" s="34" t="s">
        <v>447</v>
      </c>
      <c r="C384" s="34">
        <v>5</v>
      </c>
      <c r="D384" s="34">
        <v>6366</v>
      </c>
      <c r="E384" s="15" t="s">
        <v>1603</v>
      </c>
      <c r="F384" s="34" t="s">
        <v>1708</v>
      </c>
      <c r="G384" s="34" t="s">
        <v>1451</v>
      </c>
      <c r="H384" s="34" t="s">
        <v>578</v>
      </c>
      <c r="I384" s="34" t="s">
        <v>384</v>
      </c>
      <c r="J384" s="34" t="s">
        <v>444</v>
      </c>
      <c r="K384" s="34" t="s">
        <v>471</v>
      </c>
      <c r="L384" s="34">
        <v>31830</v>
      </c>
    </row>
    <row r="385" spans="1:12" x14ac:dyDescent="0.3">
      <c r="A385" s="34" t="s">
        <v>1709</v>
      </c>
      <c r="B385" s="34" t="s">
        <v>465</v>
      </c>
      <c r="C385" s="34">
        <v>8</v>
      </c>
      <c r="D385" s="34">
        <v>18654</v>
      </c>
      <c r="E385" s="15" t="s">
        <v>1273</v>
      </c>
      <c r="F385" s="34" t="s">
        <v>1710</v>
      </c>
      <c r="G385" s="34" t="s">
        <v>564</v>
      </c>
      <c r="H385" s="34" t="s">
        <v>488</v>
      </c>
      <c r="I385" s="34" t="s">
        <v>384</v>
      </c>
      <c r="J385" s="34" t="s">
        <v>457</v>
      </c>
      <c r="K385" s="34" t="s">
        <v>178</v>
      </c>
      <c r="L385" s="34">
        <v>149232</v>
      </c>
    </row>
    <row r="386" spans="1:12" x14ac:dyDescent="0.3">
      <c r="A386" s="34" t="s">
        <v>1711</v>
      </c>
      <c r="B386" s="34" t="s">
        <v>447</v>
      </c>
      <c r="C386" s="34">
        <v>4</v>
      </c>
      <c r="D386" s="34">
        <v>17843</v>
      </c>
      <c r="E386" s="15" t="s">
        <v>557</v>
      </c>
      <c r="F386" s="34" t="s">
        <v>1712</v>
      </c>
      <c r="G386" s="34" t="s">
        <v>774</v>
      </c>
      <c r="H386" s="34" t="s">
        <v>560</v>
      </c>
      <c r="I386" s="34" t="s">
        <v>384</v>
      </c>
      <c r="J386" s="34" t="s">
        <v>470</v>
      </c>
      <c r="K386" s="34" t="s">
        <v>489</v>
      </c>
      <c r="L386" s="34">
        <v>71372</v>
      </c>
    </row>
    <row r="387" spans="1:12" x14ac:dyDescent="0.3">
      <c r="A387" s="34" t="s">
        <v>1713</v>
      </c>
      <c r="B387" s="34" t="s">
        <v>439</v>
      </c>
      <c r="C387" s="34">
        <v>1</v>
      </c>
      <c r="D387" s="34">
        <v>2447</v>
      </c>
      <c r="E387" s="15" t="s">
        <v>1714</v>
      </c>
      <c r="F387" s="34" t="s">
        <v>1715</v>
      </c>
      <c r="G387" s="34" t="s">
        <v>1532</v>
      </c>
      <c r="H387" s="34" t="s">
        <v>694</v>
      </c>
      <c r="I387" s="34" t="s">
        <v>384</v>
      </c>
      <c r="J387" s="34" t="s">
        <v>444</v>
      </c>
      <c r="K387" s="34" t="s">
        <v>178</v>
      </c>
      <c r="L387" s="34">
        <v>2447</v>
      </c>
    </row>
    <row r="388" spans="1:12" x14ac:dyDescent="0.3">
      <c r="A388" s="34" t="s">
        <v>1716</v>
      </c>
      <c r="B388" s="34" t="s">
        <v>510</v>
      </c>
      <c r="C388" s="34">
        <v>6</v>
      </c>
      <c r="D388" s="34">
        <v>6469</v>
      </c>
      <c r="E388" s="15" t="s">
        <v>1419</v>
      </c>
      <c r="F388" s="34" t="s">
        <v>1717</v>
      </c>
      <c r="G388" s="34" t="s">
        <v>513</v>
      </c>
      <c r="H388" s="34" t="s">
        <v>565</v>
      </c>
      <c r="I388" s="34" t="s">
        <v>384</v>
      </c>
      <c r="J388" s="34" t="s">
        <v>444</v>
      </c>
      <c r="K388" s="34" t="s">
        <v>178</v>
      </c>
      <c r="L388" s="34">
        <v>38814</v>
      </c>
    </row>
    <row r="389" spans="1:12" x14ac:dyDescent="0.3">
      <c r="A389" s="34" t="s">
        <v>1718</v>
      </c>
      <c r="B389" s="34" t="s">
        <v>524</v>
      </c>
      <c r="C389" s="34">
        <v>5</v>
      </c>
      <c r="D389" s="34">
        <v>18102</v>
      </c>
      <c r="E389" s="15" t="s">
        <v>1719</v>
      </c>
      <c r="F389" s="34" t="s">
        <v>1720</v>
      </c>
      <c r="G389" s="34" t="s">
        <v>1539</v>
      </c>
      <c r="H389" s="34" t="s">
        <v>651</v>
      </c>
      <c r="I389" s="34" t="s">
        <v>384</v>
      </c>
      <c r="J389" s="34" t="s">
        <v>457</v>
      </c>
      <c r="K389" s="34" t="s">
        <v>489</v>
      </c>
      <c r="L389" s="34">
        <v>90510</v>
      </c>
    </row>
    <row r="390" spans="1:12" x14ac:dyDescent="0.3">
      <c r="A390" s="34" t="s">
        <v>1721</v>
      </c>
      <c r="B390" s="34" t="s">
        <v>447</v>
      </c>
      <c r="C390" s="34">
        <v>1</v>
      </c>
      <c r="D390" s="34">
        <v>2043</v>
      </c>
      <c r="E390" s="15" t="s">
        <v>1722</v>
      </c>
      <c r="F390" s="34" t="s">
        <v>1723</v>
      </c>
      <c r="G390" s="34" t="s">
        <v>1724</v>
      </c>
      <c r="H390" s="34" t="s">
        <v>682</v>
      </c>
      <c r="I390" s="34" t="s">
        <v>384</v>
      </c>
      <c r="J390" s="34" t="s">
        <v>457</v>
      </c>
      <c r="K390" s="34" t="s">
        <v>533</v>
      </c>
      <c r="L390" s="34">
        <v>2043</v>
      </c>
    </row>
    <row r="391" spans="1:12" x14ac:dyDescent="0.3">
      <c r="A391" s="34" t="s">
        <v>1725</v>
      </c>
      <c r="B391" s="34" t="s">
        <v>524</v>
      </c>
      <c r="C391" s="34">
        <v>3</v>
      </c>
      <c r="D391" s="34">
        <v>9526</v>
      </c>
      <c r="E391" s="15" t="s">
        <v>932</v>
      </c>
      <c r="F391" s="34" t="s">
        <v>1726</v>
      </c>
      <c r="G391" s="34" t="s">
        <v>1513</v>
      </c>
      <c r="H391" s="34" t="s">
        <v>518</v>
      </c>
      <c r="I391" s="34" t="s">
        <v>384</v>
      </c>
      <c r="J391" s="34" t="s">
        <v>470</v>
      </c>
      <c r="K391" s="34" t="s">
        <v>445</v>
      </c>
      <c r="L391" s="34">
        <v>28578</v>
      </c>
    </row>
    <row r="392" spans="1:12" x14ac:dyDescent="0.3">
      <c r="A392" s="34" t="s">
        <v>1727</v>
      </c>
      <c r="B392" s="34" t="s">
        <v>459</v>
      </c>
      <c r="C392" s="34">
        <v>4</v>
      </c>
      <c r="D392" s="34">
        <v>13991</v>
      </c>
      <c r="E392" s="15" t="s">
        <v>1728</v>
      </c>
      <c r="F392" s="34" t="s">
        <v>1729</v>
      </c>
      <c r="G392" s="34" t="s">
        <v>690</v>
      </c>
      <c r="H392" s="34" t="s">
        <v>504</v>
      </c>
      <c r="I392" s="34" t="s">
        <v>384</v>
      </c>
      <c r="J392" s="34" t="s">
        <v>444</v>
      </c>
      <c r="K392" s="34" t="s">
        <v>533</v>
      </c>
      <c r="L392" s="34">
        <v>55964</v>
      </c>
    </row>
    <row r="393" spans="1:12" x14ac:dyDescent="0.3">
      <c r="A393" s="34" t="s">
        <v>1730</v>
      </c>
      <c r="B393" s="34" t="s">
        <v>447</v>
      </c>
      <c r="C393" s="34">
        <v>2</v>
      </c>
      <c r="D393" s="34">
        <v>7012</v>
      </c>
      <c r="E393" s="15" t="s">
        <v>1731</v>
      </c>
      <c r="F393" s="34" t="s">
        <v>1732</v>
      </c>
      <c r="G393" s="34" t="s">
        <v>824</v>
      </c>
      <c r="H393" s="34" t="s">
        <v>682</v>
      </c>
      <c r="I393" s="34" t="s">
        <v>384</v>
      </c>
      <c r="J393" s="34" t="s">
        <v>470</v>
      </c>
      <c r="K393" s="34" t="s">
        <v>471</v>
      </c>
      <c r="L393" s="34">
        <v>14024</v>
      </c>
    </row>
    <row r="394" spans="1:12" x14ac:dyDescent="0.3">
      <c r="A394" s="34" t="s">
        <v>1733</v>
      </c>
      <c r="B394" s="34" t="s">
        <v>478</v>
      </c>
      <c r="C394" s="34">
        <v>8</v>
      </c>
      <c r="D394" s="34">
        <v>4583</v>
      </c>
      <c r="E394" s="15" t="s">
        <v>1176</v>
      </c>
      <c r="F394" s="34" t="s">
        <v>1734</v>
      </c>
      <c r="G394" s="34" t="s">
        <v>1682</v>
      </c>
      <c r="H394" s="34" t="s">
        <v>499</v>
      </c>
      <c r="I394" s="34" t="s">
        <v>384</v>
      </c>
      <c r="J394" s="34" t="s">
        <v>457</v>
      </c>
      <c r="K394" s="34" t="s">
        <v>533</v>
      </c>
      <c r="L394" s="34">
        <v>36664</v>
      </c>
    </row>
    <row r="395" spans="1:12" x14ac:dyDescent="0.3">
      <c r="A395" s="34" t="s">
        <v>1735</v>
      </c>
      <c r="B395" s="34" t="s">
        <v>447</v>
      </c>
      <c r="C395" s="34">
        <v>2</v>
      </c>
      <c r="D395" s="34">
        <v>7410</v>
      </c>
      <c r="E395" s="15" t="s">
        <v>1736</v>
      </c>
      <c r="F395" s="34" t="s">
        <v>1737</v>
      </c>
      <c r="G395" s="34" t="s">
        <v>1462</v>
      </c>
      <c r="H395" s="34" t="s">
        <v>618</v>
      </c>
      <c r="I395" s="34" t="s">
        <v>384</v>
      </c>
      <c r="J395" s="34" t="s">
        <v>457</v>
      </c>
      <c r="K395" s="34" t="s">
        <v>178</v>
      </c>
      <c r="L395" s="34">
        <v>14820</v>
      </c>
    </row>
    <row r="396" spans="1:12" x14ac:dyDescent="0.3">
      <c r="A396" s="34" t="s">
        <v>1738</v>
      </c>
      <c r="B396" s="34" t="s">
        <v>506</v>
      </c>
      <c r="C396" s="34">
        <v>4</v>
      </c>
      <c r="D396" s="34">
        <v>5360</v>
      </c>
      <c r="E396" s="15" t="s">
        <v>1739</v>
      </c>
      <c r="F396" s="34" t="s">
        <v>1740</v>
      </c>
      <c r="G396" s="34" t="s">
        <v>1741</v>
      </c>
      <c r="H396" s="34" t="s">
        <v>694</v>
      </c>
      <c r="I396" s="34" t="s">
        <v>384</v>
      </c>
      <c r="J396" s="34" t="s">
        <v>457</v>
      </c>
      <c r="K396" s="34" t="s">
        <v>533</v>
      </c>
      <c r="L396" s="34">
        <v>21440</v>
      </c>
    </row>
    <row r="397" spans="1:12" x14ac:dyDescent="0.3">
      <c r="A397" s="34" t="s">
        <v>1742</v>
      </c>
      <c r="B397" s="34" t="s">
        <v>506</v>
      </c>
      <c r="C397" s="34">
        <v>5</v>
      </c>
      <c r="D397" s="34">
        <v>4881</v>
      </c>
      <c r="E397" s="15" t="s">
        <v>1743</v>
      </c>
      <c r="F397" s="34" t="s">
        <v>1744</v>
      </c>
      <c r="G397" s="34" t="s">
        <v>875</v>
      </c>
      <c r="H397" s="34" t="s">
        <v>514</v>
      </c>
      <c r="I397" s="34" t="s">
        <v>384</v>
      </c>
      <c r="J397" s="34" t="s">
        <v>457</v>
      </c>
      <c r="K397" s="34" t="s">
        <v>489</v>
      </c>
      <c r="L397" s="34">
        <v>24405</v>
      </c>
    </row>
    <row r="398" spans="1:12" x14ac:dyDescent="0.3">
      <c r="A398" s="34" t="s">
        <v>1745</v>
      </c>
      <c r="B398" s="34" t="s">
        <v>484</v>
      </c>
      <c r="C398" s="34">
        <v>2</v>
      </c>
      <c r="D398" s="34">
        <v>4837</v>
      </c>
      <c r="E398" s="15" t="s">
        <v>1444</v>
      </c>
      <c r="F398" s="34" t="s">
        <v>1746</v>
      </c>
      <c r="G398" s="34" t="s">
        <v>1261</v>
      </c>
      <c r="H398" s="34" t="s">
        <v>518</v>
      </c>
      <c r="I398" s="34" t="s">
        <v>384</v>
      </c>
      <c r="J398" s="34" t="s">
        <v>470</v>
      </c>
      <c r="K398" s="34" t="s">
        <v>445</v>
      </c>
      <c r="L398" s="34">
        <v>9674</v>
      </c>
    </row>
    <row r="399" spans="1:12" x14ac:dyDescent="0.3">
      <c r="A399" s="34" t="s">
        <v>1747</v>
      </c>
      <c r="B399" s="34" t="s">
        <v>495</v>
      </c>
      <c r="C399" s="34">
        <v>8</v>
      </c>
      <c r="D399" s="34">
        <v>3000</v>
      </c>
      <c r="E399" s="15" t="s">
        <v>649</v>
      </c>
      <c r="F399" s="34" t="s">
        <v>1748</v>
      </c>
      <c r="G399" s="34" t="s">
        <v>698</v>
      </c>
      <c r="H399" s="34" t="s">
        <v>463</v>
      </c>
      <c r="I399" s="34" t="s">
        <v>384</v>
      </c>
      <c r="J399" s="34" t="s">
        <v>457</v>
      </c>
      <c r="K399" s="34" t="s">
        <v>489</v>
      </c>
      <c r="L399" s="34">
        <v>24000</v>
      </c>
    </row>
    <row r="400" spans="1:12" x14ac:dyDescent="0.3">
      <c r="A400" s="34" t="s">
        <v>1749</v>
      </c>
      <c r="B400" s="34" t="s">
        <v>459</v>
      </c>
      <c r="C400" s="34">
        <v>5</v>
      </c>
      <c r="D400" s="34">
        <v>12582</v>
      </c>
      <c r="E400" s="15" t="s">
        <v>592</v>
      </c>
      <c r="F400" s="34" t="s">
        <v>1750</v>
      </c>
      <c r="G400" s="34" t="s">
        <v>1751</v>
      </c>
      <c r="H400" s="34" t="s">
        <v>618</v>
      </c>
      <c r="I400" s="34" t="s">
        <v>384</v>
      </c>
      <c r="J400" s="34" t="s">
        <v>457</v>
      </c>
      <c r="K400" s="34" t="s">
        <v>178</v>
      </c>
      <c r="L400" s="34">
        <v>62910</v>
      </c>
    </row>
    <row r="401" spans="1:12" x14ac:dyDescent="0.3">
      <c r="A401" s="34" t="s">
        <v>1752</v>
      </c>
      <c r="B401" s="34" t="s">
        <v>495</v>
      </c>
      <c r="C401" s="34">
        <v>1</v>
      </c>
      <c r="D401" s="34">
        <v>16609</v>
      </c>
      <c r="E401" s="15" t="s">
        <v>1753</v>
      </c>
      <c r="F401" s="34" t="s">
        <v>1754</v>
      </c>
      <c r="G401" s="34" t="s">
        <v>1755</v>
      </c>
      <c r="H401" s="34" t="s">
        <v>543</v>
      </c>
      <c r="I401" s="34" t="s">
        <v>384</v>
      </c>
      <c r="J401" s="34" t="s">
        <v>444</v>
      </c>
      <c r="K401" s="34" t="s">
        <v>533</v>
      </c>
      <c r="L401" s="34">
        <v>16609</v>
      </c>
    </row>
    <row r="402" spans="1:12" x14ac:dyDescent="0.3">
      <c r="A402" s="34" t="s">
        <v>1756</v>
      </c>
      <c r="B402" s="34" t="s">
        <v>484</v>
      </c>
      <c r="C402" s="34">
        <v>3</v>
      </c>
      <c r="D402" s="34">
        <v>5720</v>
      </c>
      <c r="E402" s="15" t="s">
        <v>1757</v>
      </c>
      <c r="F402" s="34" t="s">
        <v>1758</v>
      </c>
      <c r="G402" s="34" t="s">
        <v>487</v>
      </c>
      <c r="H402" s="34" t="s">
        <v>476</v>
      </c>
      <c r="I402" s="34" t="s">
        <v>384</v>
      </c>
      <c r="J402" s="34" t="s">
        <v>444</v>
      </c>
      <c r="K402" s="34" t="s">
        <v>445</v>
      </c>
      <c r="L402" s="34">
        <v>17160</v>
      </c>
    </row>
    <row r="403" spans="1:12" x14ac:dyDescent="0.3">
      <c r="A403" s="34" t="s">
        <v>1759</v>
      </c>
      <c r="B403" s="34" t="s">
        <v>439</v>
      </c>
      <c r="C403" s="34">
        <v>8</v>
      </c>
      <c r="D403" s="34">
        <v>14630</v>
      </c>
      <c r="E403" s="15" t="s">
        <v>1234</v>
      </c>
      <c r="F403" s="34" t="s">
        <v>1760</v>
      </c>
      <c r="G403" s="34" t="s">
        <v>1085</v>
      </c>
      <c r="H403" s="34" t="s">
        <v>560</v>
      </c>
      <c r="I403" s="34" t="s">
        <v>384</v>
      </c>
      <c r="J403" s="34" t="s">
        <v>457</v>
      </c>
      <c r="K403" s="34" t="s">
        <v>471</v>
      </c>
      <c r="L403" s="34">
        <v>117040</v>
      </c>
    </row>
    <row r="404" spans="1:12" x14ac:dyDescent="0.3">
      <c r="A404" s="34" t="s">
        <v>1761</v>
      </c>
      <c r="B404" s="34" t="s">
        <v>459</v>
      </c>
      <c r="C404" s="34">
        <v>5</v>
      </c>
      <c r="D404" s="34">
        <v>13858</v>
      </c>
      <c r="E404" s="15" t="s">
        <v>1762</v>
      </c>
      <c r="F404" s="34" t="s">
        <v>1763</v>
      </c>
      <c r="G404" s="34" t="s">
        <v>792</v>
      </c>
      <c r="H404" s="34" t="s">
        <v>518</v>
      </c>
      <c r="I404" s="34" t="s">
        <v>384</v>
      </c>
      <c r="J404" s="34" t="s">
        <v>457</v>
      </c>
      <c r="K404" s="34" t="s">
        <v>489</v>
      </c>
      <c r="L404" s="34">
        <v>69290</v>
      </c>
    </row>
    <row r="405" spans="1:12" x14ac:dyDescent="0.3">
      <c r="A405" s="34" t="s">
        <v>1764</v>
      </c>
      <c r="B405" s="34" t="s">
        <v>510</v>
      </c>
      <c r="C405" s="34">
        <v>1</v>
      </c>
      <c r="D405" s="34">
        <v>4622</v>
      </c>
      <c r="E405" s="15" t="s">
        <v>1765</v>
      </c>
      <c r="F405" s="34" t="s">
        <v>1766</v>
      </c>
      <c r="G405" s="34" t="s">
        <v>1767</v>
      </c>
      <c r="H405" s="34" t="s">
        <v>746</v>
      </c>
      <c r="I405" s="34" t="s">
        <v>384</v>
      </c>
      <c r="J405" s="34" t="s">
        <v>444</v>
      </c>
      <c r="K405" s="34" t="s">
        <v>471</v>
      </c>
      <c r="L405" s="34">
        <v>4622</v>
      </c>
    </row>
    <row r="406" spans="1:12" x14ac:dyDescent="0.3">
      <c r="A406" s="34" t="s">
        <v>1768</v>
      </c>
      <c r="B406" s="34" t="s">
        <v>506</v>
      </c>
      <c r="C406" s="34">
        <v>3</v>
      </c>
      <c r="D406" s="34">
        <v>3565</v>
      </c>
      <c r="E406" s="15" t="s">
        <v>1180</v>
      </c>
      <c r="F406" s="34" t="s">
        <v>1769</v>
      </c>
      <c r="G406" s="34" t="s">
        <v>1751</v>
      </c>
      <c r="H406" s="34" t="s">
        <v>639</v>
      </c>
      <c r="I406" s="34" t="s">
        <v>384</v>
      </c>
      <c r="J406" s="34" t="s">
        <v>457</v>
      </c>
      <c r="K406" s="34" t="s">
        <v>445</v>
      </c>
      <c r="L406" s="34">
        <v>10695</v>
      </c>
    </row>
    <row r="407" spans="1:12" x14ac:dyDescent="0.3">
      <c r="A407" s="34" t="s">
        <v>1770</v>
      </c>
      <c r="B407" s="34" t="s">
        <v>510</v>
      </c>
      <c r="C407" s="34">
        <v>7</v>
      </c>
      <c r="D407" s="34">
        <v>2139</v>
      </c>
      <c r="E407" s="15" t="s">
        <v>1137</v>
      </c>
      <c r="F407" s="34" t="s">
        <v>1771</v>
      </c>
      <c r="G407" s="34" t="s">
        <v>807</v>
      </c>
      <c r="H407" s="34" t="s">
        <v>499</v>
      </c>
      <c r="I407" s="34" t="s">
        <v>384</v>
      </c>
      <c r="J407" s="34" t="s">
        <v>470</v>
      </c>
      <c r="K407" s="34" t="s">
        <v>445</v>
      </c>
      <c r="L407" s="34">
        <v>14973</v>
      </c>
    </row>
    <row r="408" spans="1:12" x14ac:dyDescent="0.3">
      <c r="A408" s="34" t="s">
        <v>1772</v>
      </c>
      <c r="B408" s="34" t="s">
        <v>484</v>
      </c>
      <c r="C408" s="34">
        <v>3</v>
      </c>
      <c r="D408" s="34">
        <v>12398</v>
      </c>
      <c r="E408" s="15" t="s">
        <v>1043</v>
      </c>
      <c r="F408" s="34" t="s">
        <v>1773</v>
      </c>
      <c r="G408" s="34" t="s">
        <v>1417</v>
      </c>
      <c r="H408" s="34" t="s">
        <v>639</v>
      </c>
      <c r="I408" s="34" t="s">
        <v>384</v>
      </c>
      <c r="J408" s="34" t="s">
        <v>470</v>
      </c>
      <c r="K408" s="34" t="s">
        <v>445</v>
      </c>
      <c r="L408" s="34">
        <v>37194</v>
      </c>
    </row>
    <row r="409" spans="1:12" x14ac:dyDescent="0.3">
      <c r="A409" s="34" t="s">
        <v>1774</v>
      </c>
      <c r="B409" s="34" t="s">
        <v>510</v>
      </c>
      <c r="C409" s="34">
        <v>5</v>
      </c>
      <c r="D409" s="34">
        <v>10519</v>
      </c>
      <c r="E409" s="15" t="s">
        <v>843</v>
      </c>
      <c r="F409" s="34" t="s">
        <v>1775</v>
      </c>
      <c r="G409" s="34" t="s">
        <v>594</v>
      </c>
      <c r="H409" s="34" t="s">
        <v>456</v>
      </c>
      <c r="I409" s="34" t="s">
        <v>384</v>
      </c>
      <c r="J409" s="34" t="s">
        <v>457</v>
      </c>
      <c r="K409" s="34" t="s">
        <v>489</v>
      </c>
      <c r="L409" s="34">
        <v>52595</v>
      </c>
    </row>
    <row r="410" spans="1:12" x14ac:dyDescent="0.3">
      <c r="A410" s="34" t="s">
        <v>1776</v>
      </c>
      <c r="B410" s="34" t="s">
        <v>495</v>
      </c>
      <c r="C410" s="34">
        <v>6</v>
      </c>
      <c r="D410" s="34">
        <v>5642</v>
      </c>
      <c r="E410" s="15" t="s">
        <v>1263</v>
      </c>
      <c r="F410" s="34" t="s">
        <v>1777</v>
      </c>
      <c r="G410" s="34" t="s">
        <v>1778</v>
      </c>
      <c r="H410" s="34" t="s">
        <v>499</v>
      </c>
      <c r="I410" s="34" t="s">
        <v>384</v>
      </c>
      <c r="J410" s="34" t="s">
        <v>470</v>
      </c>
      <c r="K410" s="34" t="s">
        <v>533</v>
      </c>
      <c r="L410" s="34">
        <v>33852</v>
      </c>
    </row>
    <row r="411" spans="1:12" x14ac:dyDescent="0.3">
      <c r="A411" s="34" t="s">
        <v>1779</v>
      </c>
      <c r="B411" s="34" t="s">
        <v>439</v>
      </c>
      <c r="C411" s="34">
        <v>5</v>
      </c>
      <c r="D411" s="34">
        <v>15278</v>
      </c>
      <c r="E411" s="15" t="s">
        <v>843</v>
      </c>
      <c r="F411" s="34" t="s">
        <v>1780</v>
      </c>
      <c r="G411" s="34" t="s">
        <v>1209</v>
      </c>
      <c r="H411" s="34" t="s">
        <v>476</v>
      </c>
      <c r="I411" s="34" t="s">
        <v>384</v>
      </c>
      <c r="J411" s="34" t="s">
        <v>457</v>
      </c>
      <c r="K411" s="34" t="s">
        <v>178</v>
      </c>
      <c r="L411" s="34">
        <v>76390</v>
      </c>
    </row>
    <row r="412" spans="1:12" x14ac:dyDescent="0.3">
      <c r="A412" s="34" t="s">
        <v>1781</v>
      </c>
      <c r="B412" s="34" t="s">
        <v>459</v>
      </c>
      <c r="C412" s="34">
        <v>5</v>
      </c>
      <c r="D412" s="34">
        <v>2492</v>
      </c>
      <c r="E412" s="15" t="s">
        <v>615</v>
      </c>
      <c r="F412" s="34" t="s">
        <v>1782</v>
      </c>
      <c r="G412" s="34" t="s">
        <v>1783</v>
      </c>
      <c r="H412" s="34" t="s">
        <v>469</v>
      </c>
      <c r="I412" s="34" t="s">
        <v>384</v>
      </c>
      <c r="J412" s="34" t="s">
        <v>470</v>
      </c>
      <c r="K412" s="34" t="s">
        <v>533</v>
      </c>
      <c r="L412" s="34">
        <v>12460</v>
      </c>
    </row>
    <row r="413" spans="1:12" x14ac:dyDescent="0.3">
      <c r="A413" s="34" t="s">
        <v>1784</v>
      </c>
      <c r="B413" s="34" t="s">
        <v>510</v>
      </c>
      <c r="C413" s="34">
        <v>9</v>
      </c>
      <c r="D413" s="34">
        <v>19206</v>
      </c>
      <c r="E413" s="15" t="s">
        <v>1785</v>
      </c>
      <c r="F413" s="34" t="s">
        <v>1786</v>
      </c>
      <c r="G413" s="34" t="s">
        <v>781</v>
      </c>
      <c r="H413" s="34" t="s">
        <v>463</v>
      </c>
      <c r="I413" s="34" t="s">
        <v>384</v>
      </c>
      <c r="J413" s="34" t="s">
        <v>470</v>
      </c>
      <c r="K413" s="34" t="s">
        <v>471</v>
      </c>
      <c r="L413" s="34">
        <v>172854</v>
      </c>
    </row>
    <row r="414" spans="1:12" x14ac:dyDescent="0.3">
      <c r="A414" s="34" t="s">
        <v>1787</v>
      </c>
      <c r="B414" s="34" t="s">
        <v>495</v>
      </c>
      <c r="C414" s="34">
        <v>2</v>
      </c>
      <c r="D414" s="34">
        <v>18723</v>
      </c>
      <c r="E414" s="15" t="s">
        <v>1788</v>
      </c>
      <c r="F414" s="34" t="s">
        <v>1789</v>
      </c>
      <c r="G414" s="34" t="s">
        <v>462</v>
      </c>
      <c r="H414" s="34" t="s">
        <v>560</v>
      </c>
      <c r="I414" s="34" t="s">
        <v>384</v>
      </c>
      <c r="J414" s="34" t="s">
        <v>457</v>
      </c>
      <c r="K414" s="34" t="s">
        <v>471</v>
      </c>
      <c r="L414" s="34">
        <v>37446</v>
      </c>
    </row>
    <row r="415" spans="1:12" x14ac:dyDescent="0.3">
      <c r="A415" s="34" t="s">
        <v>1790</v>
      </c>
      <c r="B415" s="34" t="s">
        <v>495</v>
      </c>
      <c r="C415" s="34">
        <v>6</v>
      </c>
      <c r="D415" s="34">
        <v>3401</v>
      </c>
      <c r="E415" s="15" t="s">
        <v>790</v>
      </c>
      <c r="F415" s="34" t="s">
        <v>1791</v>
      </c>
      <c r="G415" s="34" t="s">
        <v>979</v>
      </c>
      <c r="H415" s="34" t="s">
        <v>710</v>
      </c>
      <c r="I415" s="34" t="s">
        <v>384</v>
      </c>
      <c r="J415" s="34" t="s">
        <v>470</v>
      </c>
      <c r="K415" s="34" t="s">
        <v>178</v>
      </c>
      <c r="L415" s="34">
        <v>20406</v>
      </c>
    </row>
    <row r="416" spans="1:12" x14ac:dyDescent="0.3">
      <c r="A416" s="34" t="s">
        <v>1792</v>
      </c>
      <c r="B416" s="34" t="s">
        <v>484</v>
      </c>
      <c r="C416" s="34">
        <v>8</v>
      </c>
      <c r="D416" s="34">
        <v>18874</v>
      </c>
      <c r="E416" s="15" t="s">
        <v>1793</v>
      </c>
      <c r="F416" s="34" t="s">
        <v>1794</v>
      </c>
      <c r="G416" s="34" t="s">
        <v>1209</v>
      </c>
      <c r="H416" s="34" t="s">
        <v>538</v>
      </c>
      <c r="I416" s="34" t="s">
        <v>384</v>
      </c>
      <c r="J416" s="34" t="s">
        <v>470</v>
      </c>
      <c r="K416" s="34" t="s">
        <v>178</v>
      </c>
      <c r="L416" s="34">
        <v>150992</v>
      </c>
    </row>
    <row r="417" spans="1:12" x14ac:dyDescent="0.3">
      <c r="A417" s="34" t="s">
        <v>1795</v>
      </c>
      <c r="B417" s="34" t="s">
        <v>478</v>
      </c>
      <c r="C417" s="34">
        <v>1</v>
      </c>
      <c r="D417" s="34">
        <v>9299</v>
      </c>
      <c r="E417" s="15" t="s">
        <v>1169</v>
      </c>
      <c r="F417" s="34" t="s">
        <v>1796</v>
      </c>
      <c r="G417" s="34" t="s">
        <v>1797</v>
      </c>
      <c r="H417" s="34" t="s">
        <v>482</v>
      </c>
      <c r="I417" s="34" t="s">
        <v>384</v>
      </c>
      <c r="J417" s="34" t="s">
        <v>444</v>
      </c>
      <c r="K417" s="34" t="s">
        <v>445</v>
      </c>
      <c r="L417" s="34">
        <v>9299</v>
      </c>
    </row>
    <row r="418" spans="1:12" x14ac:dyDescent="0.3">
      <c r="A418" s="34" t="s">
        <v>1798</v>
      </c>
      <c r="B418" s="34" t="s">
        <v>465</v>
      </c>
      <c r="C418" s="34">
        <v>2</v>
      </c>
      <c r="D418" s="34">
        <v>2884</v>
      </c>
      <c r="E418" s="15" t="s">
        <v>1799</v>
      </c>
      <c r="F418" s="34" t="s">
        <v>1800</v>
      </c>
      <c r="G418" s="34" t="s">
        <v>1801</v>
      </c>
      <c r="H418" s="34" t="s">
        <v>560</v>
      </c>
      <c r="I418" s="34" t="s">
        <v>384</v>
      </c>
      <c r="J418" s="34" t="s">
        <v>457</v>
      </c>
      <c r="K418" s="34" t="s">
        <v>533</v>
      </c>
      <c r="L418" s="34">
        <v>5768</v>
      </c>
    </row>
    <row r="419" spans="1:12" x14ac:dyDescent="0.3">
      <c r="A419" s="34" t="s">
        <v>1802</v>
      </c>
      <c r="B419" s="34" t="s">
        <v>524</v>
      </c>
      <c r="C419" s="34">
        <v>4</v>
      </c>
      <c r="D419" s="34">
        <v>9124</v>
      </c>
      <c r="E419" s="15" t="s">
        <v>1803</v>
      </c>
      <c r="F419" s="34" t="s">
        <v>1804</v>
      </c>
      <c r="G419" s="34" t="s">
        <v>1178</v>
      </c>
      <c r="H419" s="34" t="s">
        <v>710</v>
      </c>
      <c r="I419" s="34" t="s">
        <v>384</v>
      </c>
      <c r="J419" s="34" t="s">
        <v>457</v>
      </c>
      <c r="K419" s="34" t="s">
        <v>445</v>
      </c>
      <c r="L419" s="34">
        <v>36496</v>
      </c>
    </row>
    <row r="420" spans="1:12" x14ac:dyDescent="0.3">
      <c r="A420" s="34" t="s">
        <v>1805</v>
      </c>
      <c r="B420" s="34" t="s">
        <v>439</v>
      </c>
      <c r="C420" s="34">
        <v>3</v>
      </c>
      <c r="D420" s="34">
        <v>6081</v>
      </c>
      <c r="E420" s="15" t="s">
        <v>1806</v>
      </c>
      <c r="F420" s="34" t="s">
        <v>1807</v>
      </c>
      <c r="G420" s="34" t="s">
        <v>673</v>
      </c>
      <c r="H420" s="34" t="s">
        <v>488</v>
      </c>
      <c r="I420" s="34" t="s">
        <v>384</v>
      </c>
      <c r="J420" s="34" t="s">
        <v>444</v>
      </c>
      <c r="K420" s="34" t="s">
        <v>178</v>
      </c>
      <c r="L420" s="34">
        <v>18243</v>
      </c>
    </row>
    <row r="421" spans="1:12" x14ac:dyDescent="0.3">
      <c r="A421" s="34" t="s">
        <v>1808</v>
      </c>
      <c r="B421" s="34" t="s">
        <v>524</v>
      </c>
      <c r="C421" s="34">
        <v>9</v>
      </c>
      <c r="D421" s="34">
        <v>2851</v>
      </c>
      <c r="E421" s="15" t="s">
        <v>1348</v>
      </c>
      <c r="F421" s="34" t="s">
        <v>1809</v>
      </c>
      <c r="G421" s="34" t="s">
        <v>1589</v>
      </c>
      <c r="H421" s="34" t="s">
        <v>463</v>
      </c>
      <c r="I421" s="34" t="s">
        <v>384</v>
      </c>
      <c r="J421" s="34" t="s">
        <v>444</v>
      </c>
      <c r="K421" s="34" t="s">
        <v>471</v>
      </c>
      <c r="L421" s="34">
        <v>25659</v>
      </c>
    </row>
    <row r="422" spans="1:12" x14ac:dyDescent="0.3">
      <c r="A422" s="34" t="s">
        <v>1810</v>
      </c>
      <c r="B422" s="34" t="s">
        <v>506</v>
      </c>
      <c r="C422" s="34">
        <v>3</v>
      </c>
      <c r="D422" s="34">
        <v>4597</v>
      </c>
      <c r="E422" s="15" t="s">
        <v>1811</v>
      </c>
      <c r="F422" s="34" t="s">
        <v>1812</v>
      </c>
      <c r="G422" s="34" t="s">
        <v>1813</v>
      </c>
      <c r="H422" s="34" t="s">
        <v>754</v>
      </c>
      <c r="I422" s="34" t="s">
        <v>384</v>
      </c>
      <c r="J422" s="34" t="s">
        <v>470</v>
      </c>
      <c r="K422" s="34" t="s">
        <v>489</v>
      </c>
      <c r="L422" s="34">
        <v>13791</v>
      </c>
    </row>
    <row r="423" spans="1:12" x14ac:dyDescent="0.3">
      <c r="A423" s="34" t="s">
        <v>1814</v>
      </c>
      <c r="B423" s="34" t="s">
        <v>524</v>
      </c>
      <c r="C423" s="34">
        <v>5</v>
      </c>
      <c r="D423" s="34">
        <v>19260</v>
      </c>
      <c r="E423" s="15" t="s">
        <v>1722</v>
      </c>
      <c r="F423" s="34" t="s">
        <v>1815</v>
      </c>
      <c r="G423" s="34" t="s">
        <v>1155</v>
      </c>
      <c r="H423" s="34" t="s">
        <v>451</v>
      </c>
      <c r="I423" s="34" t="s">
        <v>384</v>
      </c>
      <c r="J423" s="34" t="s">
        <v>457</v>
      </c>
      <c r="K423" s="34" t="s">
        <v>471</v>
      </c>
      <c r="L423" s="34">
        <v>96300</v>
      </c>
    </row>
    <row r="424" spans="1:12" x14ac:dyDescent="0.3">
      <c r="A424" s="34" t="s">
        <v>1816</v>
      </c>
      <c r="B424" s="34" t="s">
        <v>439</v>
      </c>
      <c r="C424" s="34">
        <v>9</v>
      </c>
      <c r="D424" s="34">
        <v>13993</v>
      </c>
      <c r="E424" s="15" t="s">
        <v>768</v>
      </c>
      <c r="F424" s="34" t="s">
        <v>1817</v>
      </c>
      <c r="G424" s="34" t="s">
        <v>1783</v>
      </c>
      <c r="H424" s="34" t="s">
        <v>639</v>
      </c>
      <c r="I424" s="34" t="s">
        <v>384</v>
      </c>
      <c r="J424" s="34" t="s">
        <v>457</v>
      </c>
      <c r="K424" s="34" t="s">
        <v>533</v>
      </c>
      <c r="L424" s="34">
        <v>125937</v>
      </c>
    </row>
    <row r="425" spans="1:12" x14ac:dyDescent="0.3">
      <c r="A425" s="34" t="s">
        <v>1818</v>
      </c>
      <c r="B425" s="34" t="s">
        <v>484</v>
      </c>
      <c r="C425" s="34">
        <v>3</v>
      </c>
      <c r="D425" s="34">
        <v>17956</v>
      </c>
      <c r="E425" s="15" t="s">
        <v>1819</v>
      </c>
      <c r="F425" s="34" t="s">
        <v>1820</v>
      </c>
      <c r="G425" s="34" t="s">
        <v>577</v>
      </c>
      <c r="H425" s="34" t="s">
        <v>565</v>
      </c>
      <c r="I425" s="34" t="s">
        <v>384</v>
      </c>
      <c r="J425" s="34" t="s">
        <v>470</v>
      </c>
      <c r="K425" s="34" t="s">
        <v>533</v>
      </c>
      <c r="L425" s="34">
        <v>53868</v>
      </c>
    </row>
    <row r="426" spans="1:12" x14ac:dyDescent="0.3">
      <c r="A426" s="34" t="s">
        <v>1821</v>
      </c>
      <c r="B426" s="34" t="s">
        <v>439</v>
      </c>
      <c r="C426" s="34">
        <v>9</v>
      </c>
      <c r="D426" s="34">
        <v>15997</v>
      </c>
      <c r="E426" s="15" t="s">
        <v>511</v>
      </c>
      <c r="F426" s="34" t="s">
        <v>1822</v>
      </c>
      <c r="G426" s="34" t="s">
        <v>1077</v>
      </c>
      <c r="H426" s="34" t="s">
        <v>488</v>
      </c>
      <c r="I426" s="34" t="s">
        <v>384</v>
      </c>
      <c r="J426" s="34" t="s">
        <v>470</v>
      </c>
      <c r="K426" s="34" t="s">
        <v>471</v>
      </c>
      <c r="L426" s="34">
        <v>143973</v>
      </c>
    </row>
    <row r="427" spans="1:12" x14ac:dyDescent="0.3">
      <c r="A427" s="34" t="s">
        <v>1823</v>
      </c>
      <c r="B427" s="34" t="s">
        <v>506</v>
      </c>
      <c r="C427" s="34">
        <v>8</v>
      </c>
      <c r="D427" s="34">
        <v>3512</v>
      </c>
      <c r="E427" s="15" t="s">
        <v>1824</v>
      </c>
      <c r="F427" s="34" t="s">
        <v>1825</v>
      </c>
      <c r="G427" s="34" t="s">
        <v>1826</v>
      </c>
      <c r="H427" s="34" t="s">
        <v>618</v>
      </c>
      <c r="I427" s="34" t="s">
        <v>384</v>
      </c>
      <c r="J427" s="34" t="s">
        <v>457</v>
      </c>
      <c r="K427" s="34" t="s">
        <v>445</v>
      </c>
      <c r="L427" s="34">
        <v>28096</v>
      </c>
    </row>
    <row r="428" spans="1:12" x14ac:dyDescent="0.3">
      <c r="A428" s="34" t="s">
        <v>1827</v>
      </c>
      <c r="B428" s="34" t="s">
        <v>510</v>
      </c>
      <c r="C428" s="34">
        <v>9</v>
      </c>
      <c r="D428" s="34">
        <v>9713</v>
      </c>
      <c r="E428" s="15" t="s">
        <v>1252</v>
      </c>
      <c r="F428" s="34" t="s">
        <v>1828</v>
      </c>
      <c r="G428" s="34" t="s">
        <v>1829</v>
      </c>
      <c r="H428" s="34" t="s">
        <v>543</v>
      </c>
      <c r="I428" s="34" t="s">
        <v>384</v>
      </c>
      <c r="J428" s="34" t="s">
        <v>444</v>
      </c>
      <c r="K428" s="34" t="s">
        <v>489</v>
      </c>
      <c r="L428" s="34">
        <v>87417</v>
      </c>
    </row>
    <row r="429" spans="1:12" x14ac:dyDescent="0.3">
      <c r="A429" s="34" t="s">
        <v>1830</v>
      </c>
      <c r="B429" s="34" t="s">
        <v>439</v>
      </c>
      <c r="C429" s="34">
        <v>3</v>
      </c>
      <c r="D429" s="34">
        <v>7444</v>
      </c>
      <c r="E429" s="15" t="s">
        <v>1103</v>
      </c>
      <c r="F429" s="34" t="s">
        <v>1831</v>
      </c>
      <c r="G429" s="34" t="s">
        <v>1353</v>
      </c>
      <c r="H429" s="34" t="s">
        <v>482</v>
      </c>
      <c r="I429" s="34" t="s">
        <v>384</v>
      </c>
      <c r="J429" s="34" t="s">
        <v>444</v>
      </c>
      <c r="K429" s="34" t="s">
        <v>178</v>
      </c>
      <c r="L429" s="34">
        <v>22332</v>
      </c>
    </row>
    <row r="430" spans="1:12" x14ac:dyDescent="0.3">
      <c r="A430" s="34" t="s">
        <v>1832</v>
      </c>
      <c r="B430" s="34" t="s">
        <v>484</v>
      </c>
      <c r="C430" s="34">
        <v>4</v>
      </c>
      <c r="D430" s="34">
        <v>16616</v>
      </c>
      <c r="E430" s="15" t="s">
        <v>1833</v>
      </c>
      <c r="F430" s="34" t="s">
        <v>1834</v>
      </c>
      <c r="G430" s="34" t="s">
        <v>503</v>
      </c>
      <c r="H430" s="34" t="s">
        <v>578</v>
      </c>
      <c r="I430" s="34" t="s">
        <v>384</v>
      </c>
      <c r="J430" s="34" t="s">
        <v>444</v>
      </c>
      <c r="K430" s="34" t="s">
        <v>445</v>
      </c>
      <c r="L430" s="34">
        <v>66464</v>
      </c>
    </row>
    <row r="431" spans="1:12" x14ac:dyDescent="0.3">
      <c r="A431" s="34" t="s">
        <v>1835</v>
      </c>
      <c r="B431" s="34" t="s">
        <v>459</v>
      </c>
      <c r="C431" s="34">
        <v>4</v>
      </c>
      <c r="D431" s="34">
        <v>3394</v>
      </c>
      <c r="E431" s="15" t="s">
        <v>1765</v>
      </c>
      <c r="F431" s="34" t="s">
        <v>1836</v>
      </c>
      <c r="G431" s="34" t="s">
        <v>1535</v>
      </c>
      <c r="H431" s="34" t="s">
        <v>543</v>
      </c>
      <c r="I431" s="34" t="s">
        <v>384</v>
      </c>
      <c r="J431" s="34" t="s">
        <v>470</v>
      </c>
      <c r="K431" s="34" t="s">
        <v>533</v>
      </c>
      <c r="L431" s="34">
        <v>13576</v>
      </c>
    </row>
    <row r="432" spans="1:12" x14ac:dyDescent="0.3">
      <c r="A432" s="34" t="s">
        <v>1837</v>
      </c>
      <c r="B432" s="34" t="s">
        <v>478</v>
      </c>
      <c r="C432" s="34">
        <v>7</v>
      </c>
      <c r="D432" s="34">
        <v>13836</v>
      </c>
      <c r="E432" s="15" t="s">
        <v>822</v>
      </c>
      <c r="F432" s="34" t="s">
        <v>1838</v>
      </c>
      <c r="G432" s="34" t="s">
        <v>1839</v>
      </c>
      <c r="H432" s="34" t="s">
        <v>595</v>
      </c>
      <c r="I432" s="34" t="s">
        <v>384</v>
      </c>
      <c r="J432" s="34" t="s">
        <v>457</v>
      </c>
      <c r="K432" s="34" t="s">
        <v>489</v>
      </c>
      <c r="L432" s="34">
        <v>96852</v>
      </c>
    </row>
    <row r="433" spans="1:12" x14ac:dyDescent="0.3">
      <c r="A433" s="34" t="s">
        <v>1840</v>
      </c>
      <c r="B433" s="34" t="s">
        <v>447</v>
      </c>
      <c r="C433" s="34">
        <v>1</v>
      </c>
      <c r="D433" s="34">
        <v>17993</v>
      </c>
      <c r="E433" s="15" t="s">
        <v>1841</v>
      </c>
      <c r="F433" s="34" t="s">
        <v>1842</v>
      </c>
      <c r="G433" s="34" t="s">
        <v>1105</v>
      </c>
      <c r="H433" s="34" t="s">
        <v>463</v>
      </c>
      <c r="I433" s="34" t="s">
        <v>384</v>
      </c>
      <c r="J433" s="34" t="s">
        <v>470</v>
      </c>
      <c r="K433" s="34" t="s">
        <v>489</v>
      </c>
      <c r="L433" s="34">
        <v>17993</v>
      </c>
    </row>
    <row r="434" spans="1:12" x14ac:dyDescent="0.3">
      <c r="A434" s="34" t="s">
        <v>1843</v>
      </c>
      <c r="B434" s="34" t="s">
        <v>447</v>
      </c>
      <c r="C434" s="34">
        <v>4</v>
      </c>
      <c r="D434" s="34">
        <v>12698</v>
      </c>
      <c r="E434" s="15" t="s">
        <v>712</v>
      </c>
      <c r="F434" s="34" t="s">
        <v>1844</v>
      </c>
      <c r="G434" s="34" t="s">
        <v>1346</v>
      </c>
      <c r="H434" s="34" t="s">
        <v>504</v>
      </c>
      <c r="I434" s="34" t="s">
        <v>384</v>
      </c>
      <c r="J434" s="34" t="s">
        <v>457</v>
      </c>
      <c r="K434" s="34" t="s">
        <v>533</v>
      </c>
      <c r="L434" s="34">
        <v>50792</v>
      </c>
    </row>
    <row r="435" spans="1:12" x14ac:dyDescent="0.3">
      <c r="A435" s="34" t="s">
        <v>1845</v>
      </c>
      <c r="B435" s="34" t="s">
        <v>459</v>
      </c>
      <c r="C435" s="34">
        <v>7</v>
      </c>
      <c r="D435" s="34">
        <v>3263</v>
      </c>
      <c r="E435" s="15" t="s">
        <v>460</v>
      </c>
      <c r="F435" s="34" t="s">
        <v>1846</v>
      </c>
      <c r="G435" s="34" t="s">
        <v>1847</v>
      </c>
      <c r="H435" s="34" t="s">
        <v>682</v>
      </c>
      <c r="I435" s="34" t="s">
        <v>384</v>
      </c>
      <c r="J435" s="34" t="s">
        <v>444</v>
      </c>
      <c r="K435" s="34" t="s">
        <v>178</v>
      </c>
      <c r="L435" s="34">
        <v>22841</v>
      </c>
    </row>
    <row r="436" spans="1:12" x14ac:dyDescent="0.3">
      <c r="A436" s="34" t="s">
        <v>1848</v>
      </c>
      <c r="B436" s="34" t="s">
        <v>524</v>
      </c>
      <c r="C436" s="34">
        <v>4</v>
      </c>
      <c r="D436" s="34">
        <v>6124</v>
      </c>
      <c r="E436" s="15" t="s">
        <v>1849</v>
      </c>
      <c r="F436" s="34" t="s">
        <v>1850</v>
      </c>
      <c r="G436" s="34" t="s">
        <v>1462</v>
      </c>
      <c r="H436" s="34" t="s">
        <v>583</v>
      </c>
      <c r="I436" s="34" t="s">
        <v>384</v>
      </c>
      <c r="J436" s="34" t="s">
        <v>457</v>
      </c>
      <c r="K436" s="34" t="s">
        <v>445</v>
      </c>
      <c r="L436" s="34">
        <v>24496</v>
      </c>
    </row>
    <row r="437" spans="1:12" x14ac:dyDescent="0.3">
      <c r="A437" s="34" t="s">
        <v>1851</v>
      </c>
      <c r="B437" s="34" t="s">
        <v>447</v>
      </c>
      <c r="C437" s="34">
        <v>7</v>
      </c>
      <c r="D437" s="34">
        <v>6562</v>
      </c>
      <c r="E437" s="15" t="s">
        <v>1505</v>
      </c>
      <c r="F437" s="34" t="s">
        <v>1852</v>
      </c>
      <c r="G437" s="34" t="s">
        <v>721</v>
      </c>
      <c r="H437" s="34" t="s">
        <v>682</v>
      </c>
      <c r="I437" s="34" t="s">
        <v>384</v>
      </c>
      <c r="J437" s="34" t="s">
        <v>444</v>
      </c>
      <c r="K437" s="34" t="s">
        <v>489</v>
      </c>
      <c r="L437" s="34">
        <v>45934</v>
      </c>
    </row>
    <row r="438" spans="1:12" x14ac:dyDescent="0.3">
      <c r="A438" s="34" t="s">
        <v>1853</v>
      </c>
      <c r="B438" s="34" t="s">
        <v>506</v>
      </c>
      <c r="C438" s="34">
        <v>4</v>
      </c>
      <c r="D438" s="34">
        <v>16420</v>
      </c>
      <c r="E438" s="15" t="s">
        <v>1173</v>
      </c>
      <c r="F438" s="34" t="s">
        <v>1854</v>
      </c>
      <c r="G438" s="34" t="s">
        <v>1311</v>
      </c>
      <c r="H438" s="34" t="s">
        <v>476</v>
      </c>
      <c r="I438" s="34" t="s">
        <v>384</v>
      </c>
      <c r="J438" s="34" t="s">
        <v>444</v>
      </c>
      <c r="K438" s="34" t="s">
        <v>471</v>
      </c>
      <c r="L438" s="34">
        <v>65680</v>
      </c>
    </row>
    <row r="439" spans="1:12" x14ac:dyDescent="0.3">
      <c r="A439" s="34" t="s">
        <v>1855</v>
      </c>
      <c r="B439" s="34" t="s">
        <v>459</v>
      </c>
      <c r="C439" s="34">
        <v>3</v>
      </c>
      <c r="D439" s="34">
        <v>19685</v>
      </c>
      <c r="E439" s="15" t="s">
        <v>491</v>
      </c>
      <c r="F439" s="34" t="s">
        <v>1856</v>
      </c>
      <c r="G439" s="34" t="s">
        <v>1857</v>
      </c>
      <c r="H439" s="34" t="s">
        <v>694</v>
      </c>
      <c r="I439" s="34" t="s">
        <v>384</v>
      </c>
      <c r="J439" s="34" t="s">
        <v>444</v>
      </c>
      <c r="K439" s="34" t="s">
        <v>178</v>
      </c>
      <c r="L439" s="34">
        <v>59055</v>
      </c>
    </row>
    <row r="440" spans="1:12" x14ac:dyDescent="0.3">
      <c r="A440" s="34" t="s">
        <v>1858</v>
      </c>
      <c r="B440" s="34" t="s">
        <v>478</v>
      </c>
      <c r="C440" s="34">
        <v>3</v>
      </c>
      <c r="D440" s="34">
        <v>5703</v>
      </c>
      <c r="E440" s="15" t="s">
        <v>987</v>
      </c>
      <c r="F440" s="34" t="s">
        <v>1859</v>
      </c>
      <c r="G440" s="34" t="s">
        <v>968</v>
      </c>
      <c r="H440" s="34" t="s">
        <v>578</v>
      </c>
      <c r="I440" s="34" t="s">
        <v>384</v>
      </c>
      <c r="J440" s="34" t="s">
        <v>444</v>
      </c>
      <c r="K440" s="34" t="s">
        <v>533</v>
      </c>
      <c r="L440" s="34">
        <v>17109</v>
      </c>
    </row>
    <row r="441" spans="1:12" x14ac:dyDescent="0.3">
      <c r="A441" s="34" t="s">
        <v>1860</v>
      </c>
      <c r="B441" s="34" t="s">
        <v>506</v>
      </c>
      <c r="C441" s="34">
        <v>3</v>
      </c>
      <c r="D441" s="34">
        <v>4970</v>
      </c>
      <c r="E441" s="15" t="s">
        <v>1583</v>
      </c>
      <c r="F441" s="34" t="s">
        <v>1861</v>
      </c>
      <c r="G441" s="34" t="s">
        <v>1696</v>
      </c>
      <c r="H441" s="34" t="s">
        <v>651</v>
      </c>
      <c r="I441" s="34" t="s">
        <v>384</v>
      </c>
      <c r="J441" s="34" t="s">
        <v>470</v>
      </c>
      <c r="K441" s="34" t="s">
        <v>471</v>
      </c>
      <c r="L441" s="34">
        <v>14910</v>
      </c>
    </row>
    <row r="442" spans="1:12" x14ac:dyDescent="0.3">
      <c r="A442" s="34" t="s">
        <v>1862</v>
      </c>
      <c r="B442" s="34" t="s">
        <v>465</v>
      </c>
      <c r="C442" s="34">
        <v>7</v>
      </c>
      <c r="D442" s="34">
        <v>10153</v>
      </c>
      <c r="E442" s="15" t="s">
        <v>1241</v>
      </c>
      <c r="F442" s="34" t="s">
        <v>1863</v>
      </c>
      <c r="G442" s="34" t="s">
        <v>1298</v>
      </c>
      <c r="H442" s="34" t="s">
        <v>639</v>
      </c>
      <c r="I442" s="34" t="s">
        <v>384</v>
      </c>
      <c r="J442" s="34" t="s">
        <v>470</v>
      </c>
      <c r="K442" s="34" t="s">
        <v>471</v>
      </c>
      <c r="L442" s="34">
        <v>71071</v>
      </c>
    </row>
    <row r="443" spans="1:12" x14ac:dyDescent="0.3">
      <c r="A443" s="34" t="s">
        <v>1864</v>
      </c>
      <c r="B443" s="34" t="s">
        <v>447</v>
      </c>
      <c r="C443" s="34">
        <v>5</v>
      </c>
      <c r="D443" s="34">
        <v>8949</v>
      </c>
      <c r="E443" s="15" t="s">
        <v>846</v>
      </c>
      <c r="F443" s="34" t="s">
        <v>1865</v>
      </c>
      <c r="G443" s="34" t="s">
        <v>1662</v>
      </c>
      <c r="H443" s="34" t="s">
        <v>543</v>
      </c>
      <c r="I443" s="34" t="s">
        <v>384</v>
      </c>
      <c r="J443" s="34" t="s">
        <v>470</v>
      </c>
      <c r="K443" s="34" t="s">
        <v>178</v>
      </c>
      <c r="L443" s="34">
        <v>44745</v>
      </c>
    </row>
    <row r="444" spans="1:12" x14ac:dyDescent="0.3">
      <c r="A444" s="34" t="s">
        <v>1866</v>
      </c>
      <c r="B444" s="34" t="s">
        <v>447</v>
      </c>
      <c r="C444" s="34">
        <v>7</v>
      </c>
      <c r="D444" s="34">
        <v>16343</v>
      </c>
      <c r="E444" s="15" t="s">
        <v>1673</v>
      </c>
      <c r="F444" s="34" t="s">
        <v>1867</v>
      </c>
      <c r="G444" s="34" t="s">
        <v>807</v>
      </c>
      <c r="H444" s="34" t="s">
        <v>499</v>
      </c>
      <c r="I444" s="34" t="s">
        <v>384</v>
      </c>
      <c r="J444" s="34" t="s">
        <v>470</v>
      </c>
      <c r="K444" s="34" t="s">
        <v>533</v>
      </c>
      <c r="L444" s="34">
        <v>114401</v>
      </c>
    </row>
    <row r="445" spans="1:12" x14ac:dyDescent="0.3">
      <c r="A445" s="34" t="s">
        <v>1868</v>
      </c>
      <c r="B445" s="34" t="s">
        <v>439</v>
      </c>
      <c r="C445" s="34">
        <v>1</v>
      </c>
      <c r="D445" s="34">
        <v>3400</v>
      </c>
      <c r="E445" s="15" t="s">
        <v>836</v>
      </c>
      <c r="F445" s="34" t="s">
        <v>1869</v>
      </c>
      <c r="G445" s="34" t="s">
        <v>785</v>
      </c>
      <c r="H445" s="34" t="s">
        <v>518</v>
      </c>
      <c r="I445" s="34" t="s">
        <v>384</v>
      </c>
      <c r="J445" s="34" t="s">
        <v>457</v>
      </c>
      <c r="K445" s="34" t="s">
        <v>489</v>
      </c>
      <c r="L445" s="34">
        <v>3400</v>
      </c>
    </row>
    <row r="446" spans="1:12" x14ac:dyDescent="0.3">
      <c r="A446" s="34" t="s">
        <v>1870</v>
      </c>
      <c r="B446" s="34" t="s">
        <v>484</v>
      </c>
      <c r="C446" s="34">
        <v>5</v>
      </c>
      <c r="D446" s="34">
        <v>17696</v>
      </c>
      <c r="E446" s="15" t="s">
        <v>955</v>
      </c>
      <c r="F446" s="34" t="s">
        <v>1871</v>
      </c>
      <c r="G446" s="34" t="s">
        <v>1311</v>
      </c>
      <c r="H446" s="34" t="s">
        <v>488</v>
      </c>
      <c r="I446" s="34" t="s">
        <v>384</v>
      </c>
      <c r="J446" s="34" t="s">
        <v>457</v>
      </c>
      <c r="K446" s="34" t="s">
        <v>445</v>
      </c>
      <c r="L446" s="34">
        <v>88480</v>
      </c>
    </row>
    <row r="447" spans="1:12" x14ac:dyDescent="0.3">
      <c r="A447" s="34" t="s">
        <v>1872</v>
      </c>
      <c r="B447" s="34" t="s">
        <v>510</v>
      </c>
      <c r="C447" s="34">
        <v>3</v>
      </c>
      <c r="D447" s="34">
        <v>9627</v>
      </c>
      <c r="E447" s="15" t="s">
        <v>1415</v>
      </c>
      <c r="F447" s="34" t="s">
        <v>1873</v>
      </c>
      <c r="G447" s="34" t="s">
        <v>1679</v>
      </c>
      <c r="H447" s="34" t="s">
        <v>488</v>
      </c>
      <c r="I447" s="34" t="s">
        <v>384</v>
      </c>
      <c r="J447" s="34" t="s">
        <v>470</v>
      </c>
      <c r="K447" s="34" t="s">
        <v>533</v>
      </c>
      <c r="L447" s="34">
        <v>28881</v>
      </c>
    </row>
    <row r="448" spans="1:12" x14ac:dyDescent="0.3">
      <c r="A448" s="34" t="s">
        <v>1874</v>
      </c>
      <c r="B448" s="34" t="s">
        <v>447</v>
      </c>
      <c r="C448" s="34">
        <v>2</v>
      </c>
      <c r="D448" s="34">
        <v>16722</v>
      </c>
      <c r="E448" s="15" t="s">
        <v>1875</v>
      </c>
      <c r="F448" s="34" t="s">
        <v>1876</v>
      </c>
      <c r="G448" s="34" t="s">
        <v>1111</v>
      </c>
      <c r="H448" s="34" t="s">
        <v>469</v>
      </c>
      <c r="I448" s="34" t="s">
        <v>384</v>
      </c>
      <c r="J448" s="34" t="s">
        <v>470</v>
      </c>
      <c r="K448" s="34" t="s">
        <v>445</v>
      </c>
      <c r="L448" s="34">
        <v>33444</v>
      </c>
    </row>
    <row r="449" spans="1:12" x14ac:dyDescent="0.3">
      <c r="A449" s="34" t="s">
        <v>1877</v>
      </c>
      <c r="B449" s="34" t="s">
        <v>459</v>
      </c>
      <c r="C449" s="34">
        <v>7</v>
      </c>
      <c r="D449" s="34">
        <v>9478</v>
      </c>
      <c r="E449" s="15" t="s">
        <v>1017</v>
      </c>
      <c r="F449" s="34" t="s">
        <v>1878</v>
      </c>
      <c r="G449" s="34" t="s">
        <v>1801</v>
      </c>
      <c r="H449" s="34" t="s">
        <v>543</v>
      </c>
      <c r="I449" s="34" t="s">
        <v>384</v>
      </c>
      <c r="J449" s="34" t="s">
        <v>444</v>
      </c>
      <c r="K449" s="34" t="s">
        <v>178</v>
      </c>
      <c r="L449" s="34">
        <v>66346</v>
      </c>
    </row>
    <row r="450" spans="1:12" x14ac:dyDescent="0.3">
      <c r="A450" s="34" t="s">
        <v>1879</v>
      </c>
      <c r="B450" s="34" t="s">
        <v>510</v>
      </c>
      <c r="C450" s="34">
        <v>2</v>
      </c>
      <c r="D450" s="34">
        <v>11733</v>
      </c>
      <c r="E450" s="15" t="s">
        <v>828</v>
      </c>
      <c r="F450" s="34" t="s">
        <v>1880</v>
      </c>
      <c r="G450" s="34" t="s">
        <v>1570</v>
      </c>
      <c r="H450" s="34" t="s">
        <v>482</v>
      </c>
      <c r="I450" s="34" t="s">
        <v>384</v>
      </c>
      <c r="J450" s="34" t="s">
        <v>444</v>
      </c>
      <c r="K450" s="34" t="s">
        <v>533</v>
      </c>
      <c r="L450" s="34">
        <v>23466</v>
      </c>
    </row>
    <row r="451" spans="1:12" x14ac:dyDescent="0.3">
      <c r="A451" s="34" t="s">
        <v>1881</v>
      </c>
      <c r="B451" s="34" t="s">
        <v>465</v>
      </c>
      <c r="C451" s="34">
        <v>8</v>
      </c>
      <c r="D451" s="34">
        <v>10061</v>
      </c>
      <c r="E451" s="15" t="s">
        <v>1882</v>
      </c>
      <c r="F451" s="34" t="s">
        <v>1883</v>
      </c>
      <c r="G451" s="34" t="s">
        <v>1091</v>
      </c>
      <c r="H451" s="34" t="s">
        <v>578</v>
      </c>
      <c r="I451" s="34" t="s">
        <v>384</v>
      </c>
      <c r="J451" s="34" t="s">
        <v>444</v>
      </c>
      <c r="K451" s="34" t="s">
        <v>471</v>
      </c>
      <c r="L451" s="34">
        <v>80488</v>
      </c>
    </row>
    <row r="452" spans="1:12" x14ac:dyDescent="0.3">
      <c r="A452" s="34" t="s">
        <v>1884</v>
      </c>
      <c r="B452" s="34" t="s">
        <v>506</v>
      </c>
      <c r="C452" s="34">
        <v>6</v>
      </c>
      <c r="D452" s="34">
        <v>9758</v>
      </c>
      <c r="E452" s="15" t="s">
        <v>1885</v>
      </c>
      <c r="F452" s="34" t="s">
        <v>1886</v>
      </c>
      <c r="G452" s="34" t="s">
        <v>517</v>
      </c>
      <c r="H452" s="34" t="s">
        <v>543</v>
      </c>
      <c r="I452" s="34" t="s">
        <v>384</v>
      </c>
      <c r="J452" s="34" t="s">
        <v>457</v>
      </c>
      <c r="K452" s="34" t="s">
        <v>445</v>
      </c>
      <c r="L452" s="34">
        <v>58548</v>
      </c>
    </row>
    <row r="453" spans="1:12" x14ac:dyDescent="0.3">
      <c r="A453" s="34" t="s">
        <v>1887</v>
      </c>
      <c r="B453" s="34" t="s">
        <v>510</v>
      </c>
      <c r="C453" s="34">
        <v>7</v>
      </c>
      <c r="D453" s="34">
        <v>16213</v>
      </c>
      <c r="E453" s="15" t="s">
        <v>1067</v>
      </c>
      <c r="F453" s="34" t="s">
        <v>1888</v>
      </c>
      <c r="G453" s="34" t="s">
        <v>1889</v>
      </c>
      <c r="H453" s="34" t="s">
        <v>499</v>
      </c>
      <c r="I453" s="34" t="s">
        <v>384</v>
      </c>
      <c r="J453" s="34" t="s">
        <v>457</v>
      </c>
      <c r="K453" s="34" t="s">
        <v>533</v>
      </c>
      <c r="L453" s="34">
        <v>113491</v>
      </c>
    </row>
    <row r="454" spans="1:12" x14ac:dyDescent="0.3">
      <c r="A454" s="34" t="s">
        <v>1890</v>
      </c>
      <c r="B454" s="34" t="s">
        <v>478</v>
      </c>
      <c r="C454" s="34">
        <v>2</v>
      </c>
      <c r="D454" s="34">
        <v>15393</v>
      </c>
      <c r="E454" s="15" t="s">
        <v>1891</v>
      </c>
      <c r="F454" s="34" t="s">
        <v>1892</v>
      </c>
      <c r="G454" s="34" t="s">
        <v>1893</v>
      </c>
      <c r="H454" s="34" t="s">
        <v>595</v>
      </c>
      <c r="I454" s="34" t="s">
        <v>384</v>
      </c>
      <c r="J454" s="34" t="s">
        <v>470</v>
      </c>
      <c r="K454" s="34" t="s">
        <v>178</v>
      </c>
      <c r="L454" s="34">
        <v>30786</v>
      </c>
    </row>
    <row r="455" spans="1:12" x14ac:dyDescent="0.3">
      <c r="A455" s="34" t="s">
        <v>1894</v>
      </c>
      <c r="B455" s="34" t="s">
        <v>439</v>
      </c>
      <c r="C455" s="34">
        <v>7</v>
      </c>
      <c r="D455" s="34">
        <v>11449</v>
      </c>
      <c r="E455" s="15" t="s">
        <v>1841</v>
      </c>
      <c r="F455" s="34" t="s">
        <v>1895</v>
      </c>
      <c r="G455" s="34" t="s">
        <v>968</v>
      </c>
      <c r="H455" s="34" t="s">
        <v>499</v>
      </c>
      <c r="I455" s="34" t="s">
        <v>384</v>
      </c>
      <c r="J455" s="34" t="s">
        <v>457</v>
      </c>
      <c r="K455" s="34" t="s">
        <v>489</v>
      </c>
      <c r="L455" s="34">
        <v>80143</v>
      </c>
    </row>
    <row r="456" spans="1:12" x14ac:dyDescent="0.3">
      <c r="A456" s="34" t="s">
        <v>1896</v>
      </c>
      <c r="B456" s="34" t="s">
        <v>484</v>
      </c>
      <c r="C456" s="34">
        <v>7</v>
      </c>
      <c r="D456" s="34">
        <v>2110</v>
      </c>
      <c r="E456" s="15" t="s">
        <v>585</v>
      </c>
      <c r="F456" s="34" t="s">
        <v>1897</v>
      </c>
      <c r="G456" s="34" t="s">
        <v>1898</v>
      </c>
      <c r="H456" s="34" t="s">
        <v>651</v>
      </c>
      <c r="I456" s="34" t="s">
        <v>384</v>
      </c>
      <c r="J456" s="34" t="s">
        <v>457</v>
      </c>
      <c r="K456" s="34" t="s">
        <v>533</v>
      </c>
      <c r="L456" s="34">
        <v>14770</v>
      </c>
    </row>
    <row r="457" spans="1:12" x14ac:dyDescent="0.3">
      <c r="A457" s="34" t="s">
        <v>1899</v>
      </c>
      <c r="B457" s="34" t="s">
        <v>439</v>
      </c>
      <c r="C457" s="34">
        <v>7</v>
      </c>
      <c r="D457" s="34">
        <v>4668</v>
      </c>
      <c r="E457" s="15" t="s">
        <v>1900</v>
      </c>
      <c r="F457" s="34" t="s">
        <v>1901</v>
      </c>
      <c r="G457" s="34" t="s">
        <v>690</v>
      </c>
      <c r="H457" s="34" t="s">
        <v>518</v>
      </c>
      <c r="I457" s="34" t="s">
        <v>384</v>
      </c>
      <c r="J457" s="34" t="s">
        <v>457</v>
      </c>
      <c r="K457" s="34" t="s">
        <v>178</v>
      </c>
      <c r="L457" s="34">
        <v>32676</v>
      </c>
    </row>
    <row r="458" spans="1:12" x14ac:dyDescent="0.3">
      <c r="A458" s="34" t="s">
        <v>1902</v>
      </c>
      <c r="B458" s="34" t="s">
        <v>510</v>
      </c>
      <c r="C458" s="34">
        <v>7</v>
      </c>
      <c r="D458" s="34">
        <v>3054</v>
      </c>
      <c r="E458" s="15" t="s">
        <v>1273</v>
      </c>
      <c r="F458" s="34" t="s">
        <v>1903</v>
      </c>
      <c r="G458" s="34" t="s">
        <v>1893</v>
      </c>
      <c r="H458" s="34" t="s">
        <v>560</v>
      </c>
      <c r="I458" s="34" t="s">
        <v>384</v>
      </c>
      <c r="J458" s="34" t="s">
        <v>444</v>
      </c>
      <c r="K458" s="34" t="s">
        <v>178</v>
      </c>
      <c r="L458" s="34">
        <v>21378</v>
      </c>
    </row>
    <row r="459" spans="1:12" x14ac:dyDescent="0.3">
      <c r="A459" s="34" t="s">
        <v>1904</v>
      </c>
      <c r="B459" s="34" t="s">
        <v>484</v>
      </c>
      <c r="C459" s="34">
        <v>3</v>
      </c>
      <c r="D459" s="34">
        <v>11987</v>
      </c>
      <c r="E459" s="15" t="s">
        <v>1147</v>
      </c>
      <c r="F459" s="34" t="s">
        <v>1905</v>
      </c>
      <c r="G459" s="34" t="s">
        <v>475</v>
      </c>
      <c r="H459" s="34" t="s">
        <v>482</v>
      </c>
      <c r="I459" s="34" t="s">
        <v>384</v>
      </c>
      <c r="J459" s="34" t="s">
        <v>470</v>
      </c>
      <c r="K459" s="34" t="s">
        <v>489</v>
      </c>
      <c r="L459" s="34">
        <v>35961</v>
      </c>
    </row>
    <row r="460" spans="1:12" x14ac:dyDescent="0.3">
      <c r="A460" s="34" t="s">
        <v>1906</v>
      </c>
      <c r="B460" s="34" t="s">
        <v>524</v>
      </c>
      <c r="C460" s="34">
        <v>6</v>
      </c>
      <c r="D460" s="34">
        <v>2128</v>
      </c>
      <c r="E460" s="15" t="s">
        <v>1907</v>
      </c>
      <c r="F460" s="34" t="s">
        <v>1908</v>
      </c>
      <c r="G460" s="34" t="s">
        <v>1909</v>
      </c>
      <c r="H460" s="34" t="s">
        <v>518</v>
      </c>
      <c r="I460" s="34" t="s">
        <v>384</v>
      </c>
      <c r="J460" s="34" t="s">
        <v>470</v>
      </c>
      <c r="K460" s="34" t="s">
        <v>489</v>
      </c>
      <c r="L460" s="34">
        <v>12768</v>
      </c>
    </row>
    <row r="461" spans="1:12" x14ac:dyDescent="0.3">
      <c r="A461" s="34" t="s">
        <v>1910</v>
      </c>
      <c r="B461" s="34" t="s">
        <v>439</v>
      </c>
      <c r="C461" s="34">
        <v>3</v>
      </c>
      <c r="D461" s="34">
        <v>12540</v>
      </c>
      <c r="E461" s="15" t="s">
        <v>1911</v>
      </c>
      <c r="F461" s="34" t="s">
        <v>1912</v>
      </c>
      <c r="G461" s="34" t="s">
        <v>487</v>
      </c>
      <c r="H461" s="34" t="s">
        <v>754</v>
      </c>
      <c r="I461" s="34" t="s">
        <v>384</v>
      </c>
      <c r="J461" s="34" t="s">
        <v>457</v>
      </c>
      <c r="K461" s="34" t="s">
        <v>533</v>
      </c>
      <c r="L461" s="34">
        <v>37620</v>
      </c>
    </row>
    <row r="462" spans="1:12" x14ac:dyDescent="0.3">
      <c r="A462" s="34" t="s">
        <v>1913</v>
      </c>
      <c r="B462" s="34" t="s">
        <v>495</v>
      </c>
      <c r="C462" s="34">
        <v>3</v>
      </c>
      <c r="D462" s="34">
        <v>19644</v>
      </c>
      <c r="E462" s="15" t="s">
        <v>1087</v>
      </c>
      <c r="F462" s="34" t="s">
        <v>1914</v>
      </c>
      <c r="G462" s="34" t="s">
        <v>662</v>
      </c>
      <c r="H462" s="34" t="s">
        <v>578</v>
      </c>
      <c r="I462" s="34" t="s">
        <v>384</v>
      </c>
      <c r="J462" s="34" t="s">
        <v>444</v>
      </c>
      <c r="K462" s="34" t="s">
        <v>533</v>
      </c>
      <c r="L462" s="34">
        <v>58932</v>
      </c>
    </row>
    <row r="463" spans="1:12" x14ac:dyDescent="0.3">
      <c r="A463" s="34" t="s">
        <v>1915</v>
      </c>
      <c r="B463" s="34" t="s">
        <v>484</v>
      </c>
      <c r="C463" s="34">
        <v>4</v>
      </c>
      <c r="D463" s="34">
        <v>5072</v>
      </c>
      <c r="E463" s="15" t="s">
        <v>1916</v>
      </c>
      <c r="F463" s="34" t="s">
        <v>1917</v>
      </c>
      <c r="G463" s="34" t="s">
        <v>1918</v>
      </c>
      <c r="H463" s="34" t="s">
        <v>583</v>
      </c>
      <c r="I463" s="34" t="s">
        <v>384</v>
      </c>
      <c r="J463" s="34" t="s">
        <v>470</v>
      </c>
      <c r="K463" s="34" t="s">
        <v>178</v>
      </c>
      <c r="L463" s="34">
        <v>20288</v>
      </c>
    </row>
    <row r="464" spans="1:12" x14ac:dyDescent="0.3">
      <c r="A464" s="34" t="s">
        <v>1919</v>
      </c>
      <c r="B464" s="34" t="s">
        <v>439</v>
      </c>
      <c r="C464" s="34">
        <v>3</v>
      </c>
      <c r="D464" s="34">
        <v>15218</v>
      </c>
      <c r="E464" s="15" t="s">
        <v>716</v>
      </c>
      <c r="F464" s="34" t="s">
        <v>1920</v>
      </c>
      <c r="G464" s="34" t="s">
        <v>733</v>
      </c>
      <c r="H464" s="34" t="s">
        <v>463</v>
      </c>
      <c r="I464" s="34" t="s">
        <v>384</v>
      </c>
      <c r="J464" s="34" t="s">
        <v>444</v>
      </c>
      <c r="K464" s="34" t="s">
        <v>178</v>
      </c>
      <c r="L464" s="34">
        <v>45654</v>
      </c>
    </row>
    <row r="465" spans="1:12" x14ac:dyDescent="0.3">
      <c r="A465" s="34" t="s">
        <v>1921</v>
      </c>
      <c r="B465" s="34" t="s">
        <v>465</v>
      </c>
      <c r="C465" s="34">
        <v>4</v>
      </c>
      <c r="D465" s="34">
        <v>3010</v>
      </c>
      <c r="E465" s="15" t="s">
        <v>748</v>
      </c>
      <c r="F465" s="34" t="s">
        <v>1922</v>
      </c>
      <c r="G465" s="34" t="s">
        <v>1923</v>
      </c>
      <c r="H465" s="34" t="s">
        <v>499</v>
      </c>
      <c r="I465" s="34" t="s">
        <v>384</v>
      </c>
      <c r="J465" s="34" t="s">
        <v>457</v>
      </c>
      <c r="K465" s="34" t="s">
        <v>489</v>
      </c>
      <c r="L465" s="34">
        <v>12040</v>
      </c>
    </row>
    <row r="466" spans="1:12" x14ac:dyDescent="0.3">
      <c r="A466" s="34" t="s">
        <v>1924</v>
      </c>
      <c r="B466" s="34" t="s">
        <v>510</v>
      </c>
      <c r="C466" s="34">
        <v>9</v>
      </c>
      <c r="D466" s="34">
        <v>11444</v>
      </c>
      <c r="E466" s="15" t="s">
        <v>1116</v>
      </c>
      <c r="F466" s="34" t="s">
        <v>1925</v>
      </c>
      <c r="G466" s="34" t="s">
        <v>741</v>
      </c>
      <c r="H466" s="34" t="s">
        <v>538</v>
      </c>
      <c r="I466" s="34" t="s">
        <v>384</v>
      </c>
      <c r="J466" s="34" t="s">
        <v>457</v>
      </c>
      <c r="K466" s="34" t="s">
        <v>471</v>
      </c>
      <c r="L466" s="34">
        <v>102996</v>
      </c>
    </row>
    <row r="467" spans="1:12" x14ac:dyDescent="0.3">
      <c r="A467" s="34" t="s">
        <v>1926</v>
      </c>
      <c r="B467" s="34" t="s">
        <v>510</v>
      </c>
      <c r="C467" s="34">
        <v>6</v>
      </c>
      <c r="D467" s="34">
        <v>3211</v>
      </c>
      <c r="E467" s="15" t="s">
        <v>1651</v>
      </c>
      <c r="F467" s="34" t="s">
        <v>1927</v>
      </c>
      <c r="G467" s="34" t="s">
        <v>1928</v>
      </c>
      <c r="H467" s="34" t="s">
        <v>518</v>
      </c>
      <c r="I467" s="34" t="s">
        <v>384</v>
      </c>
      <c r="J467" s="34" t="s">
        <v>470</v>
      </c>
      <c r="K467" s="34" t="s">
        <v>445</v>
      </c>
      <c r="L467" s="34">
        <v>19266</v>
      </c>
    </row>
    <row r="468" spans="1:12" x14ac:dyDescent="0.3">
      <c r="A468" s="34" t="s">
        <v>1929</v>
      </c>
      <c r="B468" s="34" t="s">
        <v>465</v>
      </c>
      <c r="C468" s="34">
        <v>5</v>
      </c>
      <c r="D468" s="34">
        <v>15333</v>
      </c>
      <c r="E468" s="15" t="s">
        <v>1545</v>
      </c>
      <c r="F468" s="34" t="s">
        <v>1930</v>
      </c>
      <c r="G468" s="34" t="s">
        <v>1048</v>
      </c>
      <c r="H468" s="34" t="s">
        <v>514</v>
      </c>
      <c r="I468" s="34" t="s">
        <v>384</v>
      </c>
      <c r="J468" s="34" t="s">
        <v>470</v>
      </c>
      <c r="K468" s="34" t="s">
        <v>533</v>
      </c>
      <c r="L468" s="34">
        <v>76665</v>
      </c>
    </row>
    <row r="469" spans="1:12" x14ac:dyDescent="0.3">
      <c r="A469" s="34" t="s">
        <v>1931</v>
      </c>
      <c r="B469" s="34" t="s">
        <v>447</v>
      </c>
      <c r="C469" s="34">
        <v>6</v>
      </c>
      <c r="D469" s="34">
        <v>14351</v>
      </c>
      <c r="E469" s="15" t="s">
        <v>664</v>
      </c>
      <c r="F469" s="34" t="s">
        <v>1932</v>
      </c>
      <c r="G469" s="34" t="s">
        <v>462</v>
      </c>
      <c r="H469" s="34" t="s">
        <v>456</v>
      </c>
      <c r="I469" s="34" t="s">
        <v>384</v>
      </c>
      <c r="J469" s="34" t="s">
        <v>470</v>
      </c>
      <c r="K469" s="34" t="s">
        <v>471</v>
      </c>
      <c r="L469" s="34">
        <v>86106</v>
      </c>
    </row>
    <row r="470" spans="1:12" x14ac:dyDescent="0.3">
      <c r="A470" s="34" t="s">
        <v>1933</v>
      </c>
      <c r="B470" s="34" t="s">
        <v>459</v>
      </c>
      <c r="C470" s="34">
        <v>2</v>
      </c>
      <c r="D470" s="34">
        <v>17864</v>
      </c>
      <c r="E470" s="15" t="s">
        <v>1934</v>
      </c>
      <c r="F470" s="34" t="s">
        <v>1935</v>
      </c>
      <c r="G470" s="34" t="s">
        <v>1091</v>
      </c>
      <c r="H470" s="34" t="s">
        <v>488</v>
      </c>
      <c r="I470" s="34" t="s">
        <v>384</v>
      </c>
      <c r="J470" s="34" t="s">
        <v>457</v>
      </c>
      <c r="K470" s="34" t="s">
        <v>178</v>
      </c>
      <c r="L470" s="34">
        <v>35728</v>
      </c>
    </row>
    <row r="471" spans="1:12" x14ac:dyDescent="0.3">
      <c r="A471" s="34" t="s">
        <v>1936</v>
      </c>
      <c r="B471" s="34" t="s">
        <v>484</v>
      </c>
      <c r="C471" s="34">
        <v>6</v>
      </c>
      <c r="D471" s="34">
        <v>16993</v>
      </c>
      <c r="E471" s="15" t="s">
        <v>727</v>
      </c>
      <c r="F471" s="34" t="s">
        <v>1937</v>
      </c>
      <c r="G471" s="34" t="s">
        <v>1513</v>
      </c>
      <c r="H471" s="34" t="s">
        <v>469</v>
      </c>
      <c r="I471" s="34" t="s">
        <v>384</v>
      </c>
      <c r="J471" s="34" t="s">
        <v>457</v>
      </c>
      <c r="K471" s="34" t="s">
        <v>178</v>
      </c>
      <c r="L471" s="34">
        <v>101958</v>
      </c>
    </row>
    <row r="472" spans="1:12" x14ac:dyDescent="0.3">
      <c r="A472" s="34" t="s">
        <v>1938</v>
      </c>
      <c r="B472" s="34" t="s">
        <v>484</v>
      </c>
      <c r="C472" s="34">
        <v>9</v>
      </c>
      <c r="D472" s="34">
        <v>11935</v>
      </c>
      <c r="E472" s="15" t="s">
        <v>802</v>
      </c>
      <c r="F472" s="34" t="s">
        <v>1939</v>
      </c>
      <c r="G472" s="34" t="s">
        <v>599</v>
      </c>
      <c r="H472" s="34" t="s">
        <v>682</v>
      </c>
      <c r="I472" s="34" t="s">
        <v>384</v>
      </c>
      <c r="J472" s="34" t="s">
        <v>470</v>
      </c>
      <c r="K472" s="34" t="s">
        <v>178</v>
      </c>
      <c r="L472" s="34">
        <v>107415</v>
      </c>
    </row>
    <row r="473" spans="1:12" x14ac:dyDescent="0.3">
      <c r="A473" s="34" t="s">
        <v>1940</v>
      </c>
      <c r="B473" s="34" t="s">
        <v>459</v>
      </c>
      <c r="C473" s="34">
        <v>3</v>
      </c>
      <c r="D473" s="34">
        <v>13137</v>
      </c>
      <c r="E473" s="15" t="s">
        <v>1180</v>
      </c>
      <c r="F473" s="34" t="s">
        <v>1941</v>
      </c>
      <c r="G473" s="34" t="s">
        <v>1182</v>
      </c>
      <c r="H473" s="34" t="s">
        <v>469</v>
      </c>
      <c r="I473" s="34" t="s">
        <v>384</v>
      </c>
      <c r="J473" s="34" t="s">
        <v>457</v>
      </c>
      <c r="K473" s="34" t="s">
        <v>533</v>
      </c>
      <c r="L473" s="34">
        <v>39411</v>
      </c>
    </row>
    <row r="474" spans="1:12" x14ac:dyDescent="0.3">
      <c r="A474" s="34" t="s">
        <v>1942</v>
      </c>
      <c r="B474" s="34" t="s">
        <v>495</v>
      </c>
      <c r="C474" s="34">
        <v>6</v>
      </c>
      <c r="D474" s="34">
        <v>16479</v>
      </c>
      <c r="E474" s="15" t="s">
        <v>649</v>
      </c>
      <c r="F474" s="34" t="s">
        <v>1943</v>
      </c>
      <c r="G474" s="34" t="s">
        <v>503</v>
      </c>
      <c r="H474" s="34" t="s">
        <v>476</v>
      </c>
      <c r="I474" s="34" t="s">
        <v>384</v>
      </c>
      <c r="J474" s="34" t="s">
        <v>444</v>
      </c>
      <c r="K474" s="34" t="s">
        <v>533</v>
      </c>
      <c r="L474" s="34">
        <v>98874</v>
      </c>
    </row>
    <row r="475" spans="1:12" x14ac:dyDescent="0.3">
      <c r="A475" s="34" t="s">
        <v>1944</v>
      </c>
      <c r="B475" s="34" t="s">
        <v>495</v>
      </c>
      <c r="C475" s="34">
        <v>7</v>
      </c>
      <c r="D475" s="34">
        <v>8870</v>
      </c>
      <c r="E475" s="15" t="s">
        <v>1482</v>
      </c>
      <c r="F475" s="34" t="s">
        <v>1945</v>
      </c>
      <c r="G475" s="34" t="s">
        <v>979</v>
      </c>
      <c r="H475" s="34" t="s">
        <v>463</v>
      </c>
      <c r="I475" s="34" t="s">
        <v>384</v>
      </c>
      <c r="J475" s="34" t="s">
        <v>457</v>
      </c>
      <c r="K475" s="34" t="s">
        <v>445</v>
      </c>
      <c r="L475" s="34">
        <v>62090</v>
      </c>
    </row>
    <row r="476" spans="1:12" x14ac:dyDescent="0.3">
      <c r="A476" s="34" t="s">
        <v>1946</v>
      </c>
      <c r="B476" s="34" t="s">
        <v>459</v>
      </c>
      <c r="C476" s="34">
        <v>5</v>
      </c>
      <c r="D476" s="34">
        <v>19644</v>
      </c>
      <c r="E476" s="15" t="s">
        <v>1788</v>
      </c>
      <c r="F476" s="34" t="s">
        <v>1947</v>
      </c>
      <c r="G476" s="34" t="s">
        <v>606</v>
      </c>
      <c r="H476" s="34" t="s">
        <v>488</v>
      </c>
      <c r="I476" s="34" t="s">
        <v>384</v>
      </c>
      <c r="J476" s="34" t="s">
        <v>444</v>
      </c>
      <c r="K476" s="34" t="s">
        <v>471</v>
      </c>
      <c r="L476" s="34">
        <v>98220</v>
      </c>
    </row>
    <row r="477" spans="1:12" x14ac:dyDescent="0.3">
      <c r="A477" s="34" t="s">
        <v>1948</v>
      </c>
      <c r="B477" s="34" t="s">
        <v>478</v>
      </c>
      <c r="C477" s="34">
        <v>1</v>
      </c>
      <c r="D477" s="34">
        <v>12165</v>
      </c>
      <c r="E477" s="15" t="s">
        <v>1949</v>
      </c>
      <c r="F477" s="34" t="s">
        <v>1950</v>
      </c>
      <c r="G477" s="34" t="s">
        <v>1205</v>
      </c>
      <c r="H477" s="34" t="s">
        <v>578</v>
      </c>
      <c r="I477" s="34" t="s">
        <v>384</v>
      </c>
      <c r="J477" s="34" t="s">
        <v>444</v>
      </c>
      <c r="K477" s="34" t="s">
        <v>178</v>
      </c>
      <c r="L477" s="34">
        <v>12165</v>
      </c>
    </row>
    <row r="478" spans="1:12" x14ac:dyDescent="0.3">
      <c r="A478" s="34" t="s">
        <v>1951</v>
      </c>
      <c r="B478" s="34" t="s">
        <v>510</v>
      </c>
      <c r="C478" s="34">
        <v>9</v>
      </c>
      <c r="D478" s="34">
        <v>17766</v>
      </c>
      <c r="E478" s="15" t="s">
        <v>1952</v>
      </c>
      <c r="F478" s="34" t="s">
        <v>1953</v>
      </c>
      <c r="G478" s="34" t="s">
        <v>559</v>
      </c>
      <c r="H478" s="34" t="s">
        <v>538</v>
      </c>
      <c r="I478" s="34" t="s">
        <v>384</v>
      </c>
      <c r="J478" s="34" t="s">
        <v>470</v>
      </c>
      <c r="K478" s="34" t="s">
        <v>178</v>
      </c>
      <c r="L478" s="34">
        <v>159894</v>
      </c>
    </row>
    <row r="479" spans="1:12" x14ac:dyDescent="0.3">
      <c r="A479" s="34" t="s">
        <v>1954</v>
      </c>
      <c r="B479" s="34" t="s">
        <v>506</v>
      </c>
      <c r="C479" s="34">
        <v>6</v>
      </c>
      <c r="D479" s="34">
        <v>15773</v>
      </c>
      <c r="E479" s="15" t="s">
        <v>932</v>
      </c>
      <c r="F479" s="34" t="s">
        <v>1955</v>
      </c>
      <c r="G479" s="34" t="s">
        <v>875</v>
      </c>
      <c r="H479" s="34" t="s">
        <v>488</v>
      </c>
      <c r="I479" s="34" t="s">
        <v>384</v>
      </c>
      <c r="J479" s="34" t="s">
        <v>457</v>
      </c>
      <c r="K479" s="34" t="s">
        <v>533</v>
      </c>
      <c r="L479" s="34">
        <v>94638</v>
      </c>
    </row>
    <row r="480" spans="1:12" x14ac:dyDescent="0.3">
      <c r="A480" s="34" t="s">
        <v>1956</v>
      </c>
      <c r="B480" s="34" t="s">
        <v>439</v>
      </c>
      <c r="C480" s="34">
        <v>6</v>
      </c>
      <c r="D480" s="34">
        <v>4674</v>
      </c>
      <c r="E480" s="15" t="s">
        <v>1957</v>
      </c>
      <c r="F480" s="34" t="s">
        <v>1958</v>
      </c>
      <c r="G480" s="34" t="s">
        <v>508</v>
      </c>
      <c r="H480" s="34" t="s">
        <v>469</v>
      </c>
      <c r="I480" s="34" t="s">
        <v>384</v>
      </c>
      <c r="J480" s="34" t="s">
        <v>457</v>
      </c>
      <c r="K480" s="34" t="s">
        <v>489</v>
      </c>
      <c r="L480" s="34">
        <v>28044</v>
      </c>
    </row>
    <row r="481" spans="1:12" x14ac:dyDescent="0.3">
      <c r="A481" s="34" t="s">
        <v>1959</v>
      </c>
      <c r="B481" s="34" t="s">
        <v>478</v>
      </c>
      <c r="C481" s="34">
        <v>6</v>
      </c>
      <c r="D481" s="34">
        <v>3929</v>
      </c>
      <c r="E481" s="15" t="s">
        <v>1960</v>
      </c>
      <c r="F481" s="34" t="s">
        <v>1961</v>
      </c>
      <c r="G481" s="34" t="s">
        <v>613</v>
      </c>
      <c r="H481" s="34" t="s">
        <v>463</v>
      </c>
      <c r="I481" s="34" t="s">
        <v>384</v>
      </c>
      <c r="J481" s="34" t="s">
        <v>444</v>
      </c>
      <c r="K481" s="34" t="s">
        <v>471</v>
      </c>
      <c r="L481" s="34">
        <v>23574</v>
      </c>
    </row>
    <row r="482" spans="1:12" x14ac:dyDescent="0.3">
      <c r="A482" s="34" t="s">
        <v>1962</v>
      </c>
      <c r="B482" s="34" t="s">
        <v>465</v>
      </c>
      <c r="C482" s="34">
        <v>2</v>
      </c>
      <c r="D482" s="34">
        <v>14214</v>
      </c>
      <c r="E482" s="15" t="s">
        <v>708</v>
      </c>
      <c r="F482" s="34" t="s">
        <v>1963</v>
      </c>
      <c r="G482" s="34" t="s">
        <v>532</v>
      </c>
      <c r="H482" s="34" t="s">
        <v>482</v>
      </c>
      <c r="I482" s="34" t="s">
        <v>384</v>
      </c>
      <c r="J482" s="34" t="s">
        <v>444</v>
      </c>
      <c r="K482" s="34" t="s">
        <v>178</v>
      </c>
      <c r="L482" s="34">
        <v>28428</v>
      </c>
    </row>
    <row r="483" spans="1:12" x14ac:dyDescent="0.3">
      <c r="A483" s="34" t="s">
        <v>1964</v>
      </c>
      <c r="B483" s="34" t="s">
        <v>506</v>
      </c>
      <c r="C483" s="34">
        <v>1</v>
      </c>
      <c r="D483" s="34">
        <v>2947</v>
      </c>
      <c r="E483" s="15" t="s">
        <v>491</v>
      </c>
      <c r="F483" s="34" t="s">
        <v>1965</v>
      </c>
      <c r="G483" s="34" t="s">
        <v>1311</v>
      </c>
      <c r="H483" s="34" t="s">
        <v>476</v>
      </c>
      <c r="I483" s="34" t="s">
        <v>384</v>
      </c>
      <c r="J483" s="34" t="s">
        <v>470</v>
      </c>
      <c r="K483" s="34" t="s">
        <v>471</v>
      </c>
      <c r="L483" s="34">
        <v>2947</v>
      </c>
    </row>
    <row r="484" spans="1:12" x14ac:dyDescent="0.3">
      <c r="A484" s="34" t="s">
        <v>1966</v>
      </c>
      <c r="B484" s="34" t="s">
        <v>439</v>
      </c>
      <c r="C484" s="34">
        <v>1</v>
      </c>
      <c r="D484" s="34">
        <v>13761</v>
      </c>
      <c r="E484" s="15" t="s">
        <v>1967</v>
      </c>
      <c r="F484" s="34" t="s">
        <v>1968</v>
      </c>
      <c r="G484" s="34" t="s">
        <v>1589</v>
      </c>
      <c r="H484" s="34" t="s">
        <v>682</v>
      </c>
      <c r="I484" s="34" t="s">
        <v>384</v>
      </c>
      <c r="J484" s="34" t="s">
        <v>444</v>
      </c>
      <c r="K484" s="34" t="s">
        <v>533</v>
      </c>
      <c r="L484" s="34">
        <v>13761</v>
      </c>
    </row>
    <row r="485" spans="1:12" x14ac:dyDescent="0.3">
      <c r="A485" s="34" t="s">
        <v>1969</v>
      </c>
      <c r="B485" s="34" t="s">
        <v>439</v>
      </c>
      <c r="C485" s="34">
        <v>1</v>
      </c>
      <c r="D485" s="34">
        <v>16590</v>
      </c>
      <c r="E485" s="15" t="s">
        <v>1970</v>
      </c>
      <c r="F485" s="34" t="s">
        <v>1971</v>
      </c>
      <c r="G485" s="34" t="s">
        <v>1972</v>
      </c>
      <c r="H485" s="34" t="s">
        <v>583</v>
      </c>
      <c r="I485" s="34" t="s">
        <v>384</v>
      </c>
      <c r="J485" s="34" t="s">
        <v>470</v>
      </c>
      <c r="K485" s="34" t="s">
        <v>471</v>
      </c>
      <c r="L485" s="34">
        <v>16590</v>
      </c>
    </row>
    <row r="486" spans="1:12" x14ac:dyDescent="0.3">
      <c r="A486" s="34" t="s">
        <v>1973</v>
      </c>
      <c r="B486" s="34" t="s">
        <v>484</v>
      </c>
      <c r="C486" s="34">
        <v>1</v>
      </c>
      <c r="D486" s="34">
        <v>13638</v>
      </c>
      <c r="E486" s="15" t="s">
        <v>636</v>
      </c>
      <c r="F486" s="34" t="s">
        <v>1974</v>
      </c>
      <c r="G486" s="34" t="s">
        <v>796</v>
      </c>
      <c r="H486" s="34" t="s">
        <v>618</v>
      </c>
      <c r="I486" s="34" t="s">
        <v>384</v>
      </c>
      <c r="J486" s="34" t="s">
        <v>457</v>
      </c>
      <c r="K486" s="34" t="s">
        <v>445</v>
      </c>
      <c r="L486" s="34">
        <v>13638</v>
      </c>
    </row>
    <row r="487" spans="1:12" x14ac:dyDescent="0.3">
      <c r="A487" s="34" t="s">
        <v>1975</v>
      </c>
      <c r="B487" s="34" t="s">
        <v>465</v>
      </c>
      <c r="C487" s="34">
        <v>1</v>
      </c>
      <c r="D487" s="34">
        <v>17688</v>
      </c>
      <c r="E487" s="15" t="s">
        <v>1296</v>
      </c>
      <c r="F487" s="34" t="s">
        <v>1976</v>
      </c>
      <c r="G487" s="34" t="s">
        <v>762</v>
      </c>
      <c r="H487" s="34" t="s">
        <v>488</v>
      </c>
      <c r="I487" s="34" t="s">
        <v>384</v>
      </c>
      <c r="J487" s="34" t="s">
        <v>470</v>
      </c>
      <c r="K487" s="34" t="s">
        <v>178</v>
      </c>
      <c r="L487" s="34">
        <v>17688</v>
      </c>
    </row>
    <row r="488" spans="1:12" x14ac:dyDescent="0.3">
      <c r="A488" s="34" t="s">
        <v>1977</v>
      </c>
      <c r="B488" s="34" t="s">
        <v>439</v>
      </c>
      <c r="C488" s="34">
        <v>8</v>
      </c>
      <c r="D488" s="34">
        <v>18876</v>
      </c>
      <c r="E488" s="15" t="s">
        <v>1875</v>
      </c>
      <c r="F488" s="34" t="s">
        <v>1978</v>
      </c>
      <c r="G488" s="34" t="s">
        <v>1186</v>
      </c>
      <c r="H488" s="34" t="s">
        <v>746</v>
      </c>
      <c r="I488" s="34" t="s">
        <v>384</v>
      </c>
      <c r="J488" s="34" t="s">
        <v>470</v>
      </c>
      <c r="K488" s="34" t="s">
        <v>533</v>
      </c>
      <c r="L488" s="34">
        <v>151008</v>
      </c>
    </row>
    <row r="489" spans="1:12" x14ac:dyDescent="0.3">
      <c r="A489" s="34" t="s">
        <v>1979</v>
      </c>
      <c r="B489" s="34" t="s">
        <v>459</v>
      </c>
      <c r="C489" s="34">
        <v>7</v>
      </c>
      <c r="D489" s="34">
        <v>14005</v>
      </c>
      <c r="E489" s="15" t="s">
        <v>1415</v>
      </c>
      <c r="F489" s="34" t="s">
        <v>1953</v>
      </c>
      <c r="G489" s="34" t="s">
        <v>1501</v>
      </c>
      <c r="H489" s="34" t="s">
        <v>578</v>
      </c>
      <c r="I489" s="34" t="s">
        <v>384</v>
      </c>
      <c r="J489" s="34" t="s">
        <v>457</v>
      </c>
      <c r="K489" s="34" t="s">
        <v>471</v>
      </c>
      <c r="L489" s="34">
        <v>98035</v>
      </c>
    </row>
    <row r="490" spans="1:12" x14ac:dyDescent="0.3">
      <c r="A490" s="34" t="s">
        <v>1980</v>
      </c>
      <c r="B490" s="34" t="s">
        <v>495</v>
      </c>
      <c r="C490" s="34">
        <v>4</v>
      </c>
      <c r="D490" s="34">
        <v>14306</v>
      </c>
      <c r="E490" s="15" t="s">
        <v>520</v>
      </c>
      <c r="F490" s="34" t="s">
        <v>1981</v>
      </c>
      <c r="G490" s="34" t="s">
        <v>1889</v>
      </c>
      <c r="H490" s="34" t="s">
        <v>639</v>
      </c>
      <c r="I490" s="34" t="s">
        <v>384</v>
      </c>
      <c r="J490" s="34" t="s">
        <v>457</v>
      </c>
      <c r="K490" s="34" t="s">
        <v>489</v>
      </c>
      <c r="L490" s="34">
        <v>57224</v>
      </c>
    </row>
    <row r="491" spans="1:12" x14ac:dyDescent="0.3">
      <c r="A491" s="34" t="s">
        <v>1982</v>
      </c>
      <c r="B491" s="34" t="s">
        <v>439</v>
      </c>
      <c r="C491" s="34">
        <v>6</v>
      </c>
      <c r="D491" s="34">
        <v>12437</v>
      </c>
      <c r="E491" s="15" t="s">
        <v>739</v>
      </c>
      <c r="F491" s="34" t="s">
        <v>1983</v>
      </c>
      <c r="G491" s="34" t="s">
        <v>1839</v>
      </c>
      <c r="H491" s="34" t="s">
        <v>560</v>
      </c>
      <c r="I491" s="34" t="s">
        <v>384</v>
      </c>
      <c r="J491" s="34" t="s">
        <v>457</v>
      </c>
      <c r="K491" s="34" t="s">
        <v>471</v>
      </c>
      <c r="L491" s="34">
        <v>74622</v>
      </c>
    </row>
    <row r="492" spans="1:12" x14ac:dyDescent="0.3">
      <c r="A492" s="34" t="s">
        <v>1984</v>
      </c>
      <c r="B492" s="34" t="s">
        <v>447</v>
      </c>
      <c r="C492" s="34">
        <v>5</v>
      </c>
      <c r="D492" s="34">
        <v>17581</v>
      </c>
      <c r="E492" s="15" t="s">
        <v>1355</v>
      </c>
      <c r="F492" s="34" t="s">
        <v>1985</v>
      </c>
      <c r="G492" s="34" t="s">
        <v>1003</v>
      </c>
      <c r="H492" s="34" t="s">
        <v>710</v>
      </c>
      <c r="I492" s="34" t="s">
        <v>384</v>
      </c>
      <c r="J492" s="34" t="s">
        <v>444</v>
      </c>
      <c r="K492" s="34" t="s">
        <v>445</v>
      </c>
      <c r="L492" s="34">
        <v>87905</v>
      </c>
    </row>
    <row r="493" spans="1:12" x14ac:dyDescent="0.3">
      <c r="A493" s="34" t="s">
        <v>1986</v>
      </c>
      <c r="B493" s="34" t="s">
        <v>447</v>
      </c>
      <c r="C493" s="34">
        <v>4</v>
      </c>
      <c r="D493" s="34">
        <v>18889</v>
      </c>
      <c r="E493" s="15" t="s">
        <v>671</v>
      </c>
      <c r="F493" s="34" t="s">
        <v>1987</v>
      </c>
      <c r="G493" s="34" t="s">
        <v>1570</v>
      </c>
      <c r="H493" s="34" t="s">
        <v>463</v>
      </c>
      <c r="I493" s="34" t="s">
        <v>384</v>
      </c>
      <c r="J493" s="34" t="s">
        <v>444</v>
      </c>
      <c r="K493" s="34" t="s">
        <v>489</v>
      </c>
      <c r="L493" s="34">
        <v>75556</v>
      </c>
    </row>
    <row r="494" spans="1:12" x14ac:dyDescent="0.3">
      <c r="A494" s="34" t="s">
        <v>1988</v>
      </c>
      <c r="B494" s="34" t="s">
        <v>439</v>
      </c>
      <c r="C494" s="34">
        <v>5</v>
      </c>
      <c r="D494" s="34">
        <v>19637</v>
      </c>
      <c r="E494" s="15" t="s">
        <v>1849</v>
      </c>
      <c r="F494" s="34" t="s">
        <v>1989</v>
      </c>
      <c r="G494" s="34" t="s">
        <v>1813</v>
      </c>
      <c r="H494" s="34" t="s">
        <v>543</v>
      </c>
      <c r="I494" s="34" t="s">
        <v>384</v>
      </c>
      <c r="J494" s="34" t="s">
        <v>444</v>
      </c>
      <c r="K494" s="34" t="s">
        <v>445</v>
      </c>
      <c r="L494" s="34">
        <v>98185</v>
      </c>
    </row>
    <row r="495" spans="1:12" x14ac:dyDescent="0.3">
      <c r="A495" s="34" t="s">
        <v>1990</v>
      </c>
      <c r="B495" s="34" t="s">
        <v>439</v>
      </c>
      <c r="C495" s="34">
        <v>6</v>
      </c>
      <c r="D495" s="34">
        <v>2362</v>
      </c>
      <c r="E495" s="15" t="s">
        <v>816</v>
      </c>
      <c r="F495" s="34" t="s">
        <v>1991</v>
      </c>
      <c r="G495" s="34" t="s">
        <v>1992</v>
      </c>
      <c r="H495" s="34" t="s">
        <v>469</v>
      </c>
      <c r="I495" s="34" t="s">
        <v>384</v>
      </c>
      <c r="J495" s="34" t="s">
        <v>457</v>
      </c>
      <c r="K495" s="34" t="s">
        <v>533</v>
      </c>
      <c r="L495" s="34">
        <v>14172</v>
      </c>
    </row>
    <row r="496" spans="1:12" x14ac:dyDescent="0.3">
      <c r="A496" s="34" t="s">
        <v>1993</v>
      </c>
      <c r="B496" s="34" t="s">
        <v>459</v>
      </c>
      <c r="C496" s="34">
        <v>2</v>
      </c>
      <c r="D496" s="34">
        <v>4205</v>
      </c>
      <c r="E496" s="15" t="s">
        <v>1059</v>
      </c>
      <c r="F496" s="34" t="s">
        <v>1994</v>
      </c>
      <c r="G496" s="34" t="s">
        <v>551</v>
      </c>
      <c r="H496" s="34" t="s">
        <v>528</v>
      </c>
      <c r="I496" s="34" t="s">
        <v>384</v>
      </c>
      <c r="J496" s="34" t="s">
        <v>470</v>
      </c>
      <c r="K496" s="34" t="s">
        <v>489</v>
      </c>
      <c r="L496" s="34">
        <v>8410</v>
      </c>
    </row>
    <row r="497" spans="1:12" x14ac:dyDescent="0.3">
      <c r="A497" s="34" t="s">
        <v>1995</v>
      </c>
      <c r="B497" s="34" t="s">
        <v>510</v>
      </c>
      <c r="C497" s="34">
        <v>4</v>
      </c>
      <c r="D497" s="34">
        <v>11371</v>
      </c>
      <c r="E497" s="15" t="s">
        <v>832</v>
      </c>
      <c r="F497" s="34" t="s">
        <v>1996</v>
      </c>
      <c r="G497" s="34" t="s">
        <v>865</v>
      </c>
      <c r="H497" s="34" t="s">
        <v>710</v>
      </c>
      <c r="I497" s="34" t="s">
        <v>384</v>
      </c>
      <c r="J497" s="34" t="s">
        <v>457</v>
      </c>
      <c r="K497" s="34" t="s">
        <v>178</v>
      </c>
      <c r="L497" s="34">
        <v>45484</v>
      </c>
    </row>
    <row r="498" spans="1:12" x14ac:dyDescent="0.3">
      <c r="A498" s="34" t="s">
        <v>1997</v>
      </c>
      <c r="B498" s="34" t="s">
        <v>478</v>
      </c>
      <c r="C498" s="34">
        <v>7</v>
      </c>
      <c r="D498" s="34">
        <v>18779</v>
      </c>
      <c r="E498" s="15" t="s">
        <v>1537</v>
      </c>
      <c r="F498" s="34" t="s">
        <v>1998</v>
      </c>
      <c r="G498" s="34" t="s">
        <v>1999</v>
      </c>
      <c r="H498" s="34" t="s">
        <v>595</v>
      </c>
      <c r="I498" s="34" t="s">
        <v>384</v>
      </c>
      <c r="J498" s="34" t="s">
        <v>457</v>
      </c>
      <c r="K498" s="34" t="s">
        <v>445</v>
      </c>
      <c r="L498" s="34">
        <v>131453</v>
      </c>
    </row>
    <row r="499" spans="1:12" x14ac:dyDescent="0.3">
      <c r="A499" s="34" t="s">
        <v>2000</v>
      </c>
      <c r="B499" s="34" t="s">
        <v>478</v>
      </c>
      <c r="C499" s="34">
        <v>8</v>
      </c>
      <c r="D499" s="34">
        <v>5377</v>
      </c>
      <c r="E499" s="15" t="s">
        <v>1731</v>
      </c>
      <c r="F499" s="34" t="s">
        <v>2001</v>
      </c>
      <c r="G499" s="34" t="s">
        <v>975</v>
      </c>
      <c r="H499" s="34" t="s">
        <v>746</v>
      </c>
      <c r="I499" s="34" t="s">
        <v>384</v>
      </c>
      <c r="J499" s="34" t="s">
        <v>457</v>
      </c>
      <c r="K499" s="34" t="s">
        <v>445</v>
      </c>
      <c r="L499" s="34">
        <v>43016</v>
      </c>
    </row>
    <row r="500" spans="1:12" x14ac:dyDescent="0.3">
      <c r="A500" s="34" t="s">
        <v>2002</v>
      </c>
      <c r="B500" s="34" t="s">
        <v>506</v>
      </c>
      <c r="C500" s="34">
        <v>5</v>
      </c>
      <c r="D500" s="34">
        <v>15640</v>
      </c>
      <c r="E500" s="15" t="s">
        <v>2003</v>
      </c>
      <c r="F500" s="34" t="s">
        <v>2004</v>
      </c>
      <c r="G500" s="34" t="s">
        <v>1889</v>
      </c>
      <c r="H500" s="34" t="s">
        <v>518</v>
      </c>
      <c r="I500" s="34" t="s">
        <v>384</v>
      </c>
      <c r="J500" s="34" t="s">
        <v>444</v>
      </c>
      <c r="K500" s="34" t="s">
        <v>445</v>
      </c>
      <c r="L500" s="34">
        <v>78200</v>
      </c>
    </row>
    <row r="501" spans="1:12" x14ac:dyDescent="0.3">
      <c r="A501" s="34" t="s">
        <v>2005</v>
      </c>
      <c r="B501" s="34" t="s">
        <v>478</v>
      </c>
      <c r="C501" s="34">
        <v>1</v>
      </c>
      <c r="D501" s="34">
        <v>6440</v>
      </c>
      <c r="E501" s="15" t="s">
        <v>624</v>
      </c>
      <c r="F501" s="34" t="s">
        <v>2006</v>
      </c>
      <c r="G501" s="34" t="s">
        <v>2007</v>
      </c>
      <c r="H501" s="34" t="s">
        <v>618</v>
      </c>
      <c r="I501" s="34" t="s">
        <v>384</v>
      </c>
      <c r="J501" s="34" t="s">
        <v>470</v>
      </c>
      <c r="K501" s="34" t="s">
        <v>471</v>
      </c>
      <c r="L501" s="34">
        <v>6440</v>
      </c>
    </row>
    <row r="502" spans="1:12" x14ac:dyDescent="0.3">
      <c r="A502" s="34" t="s">
        <v>2008</v>
      </c>
      <c r="B502" s="34" t="s">
        <v>439</v>
      </c>
      <c r="C502" s="34">
        <v>1</v>
      </c>
      <c r="D502" s="34">
        <v>5506</v>
      </c>
      <c r="E502" s="15" t="s">
        <v>1273</v>
      </c>
      <c r="F502" s="34" t="s">
        <v>2009</v>
      </c>
      <c r="G502" s="34" t="s">
        <v>745</v>
      </c>
      <c r="H502" s="34" t="s">
        <v>694</v>
      </c>
      <c r="I502" s="34" t="s">
        <v>384</v>
      </c>
      <c r="J502" s="34" t="s">
        <v>444</v>
      </c>
      <c r="K502" s="34" t="s">
        <v>489</v>
      </c>
      <c r="L502" s="34">
        <v>5506</v>
      </c>
    </row>
    <row r="503" spans="1:12" x14ac:dyDescent="0.3">
      <c r="A503" s="34" t="s">
        <v>2010</v>
      </c>
      <c r="B503" s="34" t="s">
        <v>495</v>
      </c>
      <c r="C503" s="34">
        <v>8</v>
      </c>
      <c r="D503" s="34">
        <v>18015</v>
      </c>
      <c r="E503" s="15" t="s">
        <v>1518</v>
      </c>
      <c r="F503" s="34" t="s">
        <v>2011</v>
      </c>
      <c r="G503" s="34" t="s">
        <v>892</v>
      </c>
      <c r="H503" s="34" t="s">
        <v>710</v>
      </c>
      <c r="I503" s="34" t="s">
        <v>384</v>
      </c>
      <c r="J503" s="34" t="s">
        <v>470</v>
      </c>
      <c r="K503" s="34" t="s">
        <v>489</v>
      </c>
      <c r="L503" s="34">
        <v>144120</v>
      </c>
    </row>
    <row r="504" spans="1:12" x14ac:dyDescent="0.3">
      <c r="A504" s="34" t="s">
        <v>2012</v>
      </c>
      <c r="B504" s="34" t="s">
        <v>447</v>
      </c>
      <c r="C504" s="34">
        <v>4</v>
      </c>
      <c r="D504" s="34">
        <v>18515</v>
      </c>
      <c r="E504" s="15" t="s">
        <v>649</v>
      </c>
      <c r="F504" s="34" t="s">
        <v>2013</v>
      </c>
      <c r="G504" s="34" t="s">
        <v>2014</v>
      </c>
      <c r="H504" s="34" t="s">
        <v>499</v>
      </c>
      <c r="I504" s="34" t="s">
        <v>384</v>
      </c>
      <c r="J504" s="34" t="s">
        <v>457</v>
      </c>
      <c r="K504" s="34" t="s">
        <v>471</v>
      </c>
      <c r="L504" s="34">
        <v>74060</v>
      </c>
    </row>
    <row r="505" spans="1:12" x14ac:dyDescent="0.3">
      <c r="A505" s="34" t="s">
        <v>2015</v>
      </c>
      <c r="B505" s="34" t="s">
        <v>510</v>
      </c>
      <c r="C505" s="34">
        <v>4</v>
      </c>
      <c r="D505" s="34">
        <v>8076</v>
      </c>
      <c r="E505" s="15" t="s">
        <v>1075</v>
      </c>
      <c r="F505" s="34" t="s">
        <v>2016</v>
      </c>
      <c r="G505" s="34" t="s">
        <v>1459</v>
      </c>
      <c r="H505" s="34" t="s">
        <v>469</v>
      </c>
      <c r="I505" s="34" t="s">
        <v>384</v>
      </c>
      <c r="J505" s="34" t="s">
        <v>457</v>
      </c>
      <c r="K505" s="34" t="s">
        <v>178</v>
      </c>
      <c r="L505" s="34">
        <v>32304</v>
      </c>
    </row>
    <row r="506" spans="1:12" x14ac:dyDescent="0.3">
      <c r="A506" s="34" t="s">
        <v>2017</v>
      </c>
      <c r="B506" s="34" t="s">
        <v>524</v>
      </c>
      <c r="C506" s="34">
        <v>1</v>
      </c>
      <c r="D506" s="34">
        <v>12151</v>
      </c>
      <c r="E506" s="15" t="s">
        <v>2018</v>
      </c>
      <c r="F506" s="34" t="s">
        <v>2019</v>
      </c>
      <c r="G506" s="34" t="s">
        <v>2020</v>
      </c>
      <c r="H506" s="34" t="s">
        <v>482</v>
      </c>
      <c r="I506" s="34" t="s">
        <v>384</v>
      </c>
      <c r="J506" s="34" t="s">
        <v>470</v>
      </c>
      <c r="K506" s="34" t="s">
        <v>533</v>
      </c>
      <c r="L506" s="34">
        <v>12151</v>
      </c>
    </row>
    <row r="507" spans="1:12" x14ac:dyDescent="0.3">
      <c r="A507" s="34" t="s">
        <v>2021</v>
      </c>
      <c r="B507" s="34" t="s">
        <v>478</v>
      </c>
      <c r="C507" s="34">
        <v>1</v>
      </c>
      <c r="D507" s="34">
        <v>15822</v>
      </c>
      <c r="E507" s="15" t="s">
        <v>1689</v>
      </c>
      <c r="F507" s="34" t="s">
        <v>2022</v>
      </c>
      <c r="G507" s="34" t="s">
        <v>1595</v>
      </c>
      <c r="H507" s="34" t="s">
        <v>514</v>
      </c>
      <c r="I507" s="34" t="s">
        <v>384</v>
      </c>
      <c r="J507" s="34" t="s">
        <v>457</v>
      </c>
      <c r="K507" s="34" t="s">
        <v>533</v>
      </c>
      <c r="L507" s="34">
        <v>15822</v>
      </c>
    </row>
    <row r="508" spans="1:12" x14ac:dyDescent="0.3">
      <c r="A508" s="34" t="s">
        <v>2023</v>
      </c>
      <c r="B508" s="34" t="s">
        <v>495</v>
      </c>
      <c r="C508" s="34">
        <v>5</v>
      </c>
      <c r="D508" s="34">
        <v>14355</v>
      </c>
      <c r="E508" s="15" t="s">
        <v>2024</v>
      </c>
      <c r="F508" s="34" t="s">
        <v>2025</v>
      </c>
      <c r="G508" s="34" t="s">
        <v>1145</v>
      </c>
      <c r="H508" s="34" t="s">
        <v>694</v>
      </c>
      <c r="I508" s="34" t="s">
        <v>384</v>
      </c>
      <c r="J508" s="34" t="s">
        <v>457</v>
      </c>
      <c r="K508" s="34" t="s">
        <v>471</v>
      </c>
      <c r="L508" s="34">
        <v>71775</v>
      </c>
    </row>
    <row r="509" spans="1:12" x14ac:dyDescent="0.3">
      <c r="A509" s="34" t="s">
        <v>2026</v>
      </c>
      <c r="B509" s="34" t="s">
        <v>439</v>
      </c>
      <c r="C509" s="34">
        <v>5</v>
      </c>
      <c r="D509" s="34">
        <v>11784</v>
      </c>
      <c r="E509" s="15" t="s">
        <v>1819</v>
      </c>
      <c r="F509" s="34" t="s">
        <v>2027</v>
      </c>
      <c r="G509" s="34" t="s">
        <v>613</v>
      </c>
      <c r="H509" s="34" t="s">
        <v>560</v>
      </c>
      <c r="I509" s="34" t="s">
        <v>384</v>
      </c>
      <c r="J509" s="34" t="s">
        <v>444</v>
      </c>
      <c r="K509" s="34" t="s">
        <v>471</v>
      </c>
      <c r="L509" s="34">
        <v>58920</v>
      </c>
    </row>
    <row r="510" spans="1:12" x14ac:dyDescent="0.3">
      <c r="A510" s="34" t="s">
        <v>2028</v>
      </c>
      <c r="B510" s="34" t="s">
        <v>495</v>
      </c>
      <c r="C510" s="34">
        <v>6</v>
      </c>
      <c r="D510" s="34">
        <v>6698</v>
      </c>
      <c r="E510" s="15" t="s">
        <v>873</v>
      </c>
      <c r="F510" s="34" t="s">
        <v>2029</v>
      </c>
      <c r="G510" s="34" t="s">
        <v>681</v>
      </c>
      <c r="H510" s="34" t="s">
        <v>469</v>
      </c>
      <c r="I510" s="34" t="s">
        <v>384</v>
      </c>
      <c r="J510" s="34" t="s">
        <v>444</v>
      </c>
      <c r="K510" s="34" t="s">
        <v>471</v>
      </c>
      <c r="L510" s="34">
        <v>40188</v>
      </c>
    </row>
    <row r="511" spans="1:12" x14ac:dyDescent="0.3">
      <c r="A511" s="34" t="s">
        <v>2030</v>
      </c>
      <c r="B511" s="34" t="s">
        <v>459</v>
      </c>
      <c r="C511" s="34">
        <v>9</v>
      </c>
      <c r="D511" s="34">
        <v>4127</v>
      </c>
      <c r="E511" s="15" t="s">
        <v>1309</v>
      </c>
      <c r="F511" s="34" t="s">
        <v>2031</v>
      </c>
      <c r="G511" s="34" t="s">
        <v>921</v>
      </c>
      <c r="H511" s="34" t="s">
        <v>469</v>
      </c>
      <c r="I511" s="34" t="s">
        <v>384</v>
      </c>
      <c r="J511" s="34" t="s">
        <v>457</v>
      </c>
      <c r="K511" s="34" t="s">
        <v>178</v>
      </c>
      <c r="L511" s="34">
        <v>37143</v>
      </c>
    </row>
    <row r="512" spans="1:12" x14ac:dyDescent="0.3">
      <c r="A512" s="34" t="s">
        <v>2032</v>
      </c>
      <c r="B512" s="34" t="s">
        <v>506</v>
      </c>
      <c r="C512" s="34">
        <v>9</v>
      </c>
      <c r="D512" s="34">
        <v>9671</v>
      </c>
      <c r="E512" s="15" t="s">
        <v>1213</v>
      </c>
      <c r="F512" s="34" t="s">
        <v>2033</v>
      </c>
      <c r="G512" s="34" t="s">
        <v>785</v>
      </c>
      <c r="H512" s="34" t="s">
        <v>504</v>
      </c>
      <c r="I512" s="34" t="s">
        <v>384</v>
      </c>
      <c r="J512" s="34" t="s">
        <v>457</v>
      </c>
      <c r="K512" s="34" t="s">
        <v>445</v>
      </c>
      <c r="L512" s="34">
        <v>87039</v>
      </c>
    </row>
    <row r="513" spans="1:12" x14ac:dyDescent="0.3">
      <c r="A513" s="34" t="s">
        <v>2034</v>
      </c>
      <c r="B513" s="34" t="s">
        <v>447</v>
      </c>
      <c r="C513" s="34">
        <v>1</v>
      </c>
      <c r="D513" s="34">
        <v>19310</v>
      </c>
      <c r="E513" s="15" t="s">
        <v>1017</v>
      </c>
      <c r="F513" s="34" t="s">
        <v>2035</v>
      </c>
      <c r="G513" s="34" t="s">
        <v>542</v>
      </c>
      <c r="H513" s="34" t="s">
        <v>754</v>
      </c>
      <c r="I513" s="34" t="s">
        <v>384</v>
      </c>
      <c r="J513" s="34" t="s">
        <v>444</v>
      </c>
      <c r="K513" s="34" t="s">
        <v>533</v>
      </c>
      <c r="L513" s="34">
        <v>19310</v>
      </c>
    </row>
    <row r="514" spans="1:12" x14ac:dyDescent="0.3">
      <c r="A514" s="34" t="s">
        <v>2036</v>
      </c>
      <c r="B514" s="34" t="s">
        <v>484</v>
      </c>
      <c r="C514" s="34">
        <v>2</v>
      </c>
      <c r="D514" s="34">
        <v>3604</v>
      </c>
      <c r="E514" s="15" t="s">
        <v>1587</v>
      </c>
      <c r="F514" s="34" t="s">
        <v>2037</v>
      </c>
      <c r="G514" s="34" t="s">
        <v>1605</v>
      </c>
      <c r="H514" s="34" t="s">
        <v>754</v>
      </c>
      <c r="I514" s="34" t="s">
        <v>384</v>
      </c>
      <c r="J514" s="34" t="s">
        <v>470</v>
      </c>
      <c r="K514" s="34" t="s">
        <v>471</v>
      </c>
      <c r="L514" s="34">
        <v>7208</v>
      </c>
    </row>
    <row r="515" spans="1:12" x14ac:dyDescent="0.3">
      <c r="A515" s="34" t="s">
        <v>2038</v>
      </c>
      <c r="B515" s="34" t="s">
        <v>524</v>
      </c>
      <c r="C515" s="34">
        <v>6</v>
      </c>
      <c r="D515" s="34">
        <v>10736</v>
      </c>
      <c r="E515" s="15" t="s">
        <v>1554</v>
      </c>
      <c r="F515" s="34" t="s">
        <v>2039</v>
      </c>
      <c r="G515" s="34" t="s">
        <v>542</v>
      </c>
      <c r="H515" s="34" t="s">
        <v>504</v>
      </c>
      <c r="I515" s="34" t="s">
        <v>384</v>
      </c>
      <c r="J515" s="34" t="s">
        <v>444</v>
      </c>
      <c r="K515" s="34" t="s">
        <v>471</v>
      </c>
      <c r="L515" s="34">
        <v>64416</v>
      </c>
    </row>
    <row r="516" spans="1:12" x14ac:dyDescent="0.3">
      <c r="A516" s="34" t="s">
        <v>2040</v>
      </c>
      <c r="B516" s="34" t="s">
        <v>478</v>
      </c>
      <c r="C516" s="34">
        <v>7</v>
      </c>
      <c r="D516" s="34">
        <v>9339</v>
      </c>
      <c r="E516" s="15" t="s">
        <v>2041</v>
      </c>
      <c r="F516" s="34" t="s">
        <v>2042</v>
      </c>
      <c r="G516" s="34" t="s">
        <v>1073</v>
      </c>
      <c r="H516" s="34" t="s">
        <v>482</v>
      </c>
      <c r="I516" s="34" t="s">
        <v>384</v>
      </c>
      <c r="J516" s="34" t="s">
        <v>470</v>
      </c>
      <c r="K516" s="34" t="s">
        <v>533</v>
      </c>
      <c r="L516" s="34">
        <v>65373</v>
      </c>
    </row>
    <row r="517" spans="1:12" x14ac:dyDescent="0.3">
      <c r="A517" s="34" t="s">
        <v>2043</v>
      </c>
      <c r="B517" s="34" t="s">
        <v>447</v>
      </c>
      <c r="C517" s="34">
        <v>2</v>
      </c>
      <c r="D517" s="34">
        <v>10829</v>
      </c>
      <c r="E517" s="15" t="s">
        <v>1916</v>
      </c>
      <c r="F517" s="34" t="s">
        <v>2044</v>
      </c>
      <c r="G517" s="34" t="s">
        <v>1128</v>
      </c>
      <c r="H517" s="34" t="s">
        <v>565</v>
      </c>
      <c r="I517" s="34" t="s">
        <v>384</v>
      </c>
      <c r="J517" s="34" t="s">
        <v>457</v>
      </c>
      <c r="K517" s="34" t="s">
        <v>445</v>
      </c>
      <c r="L517" s="34">
        <v>21658</v>
      </c>
    </row>
    <row r="518" spans="1:12" x14ac:dyDescent="0.3">
      <c r="A518" s="34" t="s">
        <v>2045</v>
      </c>
      <c r="B518" s="34" t="s">
        <v>524</v>
      </c>
      <c r="C518" s="34">
        <v>5</v>
      </c>
      <c r="D518" s="34">
        <v>17676</v>
      </c>
      <c r="E518" s="15" t="s">
        <v>932</v>
      </c>
      <c r="F518" s="34" t="s">
        <v>2046</v>
      </c>
      <c r="G518" s="34" t="s">
        <v>2047</v>
      </c>
      <c r="H518" s="34" t="s">
        <v>746</v>
      </c>
      <c r="I518" s="34" t="s">
        <v>384</v>
      </c>
      <c r="J518" s="34" t="s">
        <v>444</v>
      </c>
      <c r="K518" s="34" t="s">
        <v>178</v>
      </c>
      <c r="L518" s="34">
        <v>88380</v>
      </c>
    </row>
    <row r="519" spans="1:12" x14ac:dyDescent="0.3">
      <c r="A519" s="34" t="s">
        <v>2048</v>
      </c>
      <c r="B519" s="34" t="s">
        <v>439</v>
      </c>
      <c r="C519" s="34">
        <v>1</v>
      </c>
      <c r="D519" s="34">
        <v>14845</v>
      </c>
      <c r="E519" s="15" t="s">
        <v>1419</v>
      </c>
      <c r="F519" s="34" t="s">
        <v>2049</v>
      </c>
      <c r="G519" s="34" t="s">
        <v>714</v>
      </c>
      <c r="H519" s="34" t="s">
        <v>754</v>
      </c>
      <c r="I519" s="34" t="s">
        <v>384</v>
      </c>
      <c r="J519" s="34" t="s">
        <v>470</v>
      </c>
      <c r="K519" s="34" t="s">
        <v>533</v>
      </c>
      <c r="L519" s="34">
        <v>14845</v>
      </c>
    </row>
    <row r="520" spans="1:12" x14ac:dyDescent="0.3">
      <c r="A520" s="34" t="s">
        <v>2050</v>
      </c>
      <c r="B520" s="34" t="s">
        <v>478</v>
      </c>
      <c r="C520" s="34">
        <v>5</v>
      </c>
      <c r="D520" s="34">
        <v>8429</v>
      </c>
      <c r="E520" s="15" t="s">
        <v>1482</v>
      </c>
      <c r="F520" s="34" t="s">
        <v>2051</v>
      </c>
      <c r="G520" s="34" t="s">
        <v>1311</v>
      </c>
      <c r="H520" s="34" t="s">
        <v>538</v>
      </c>
      <c r="I520" s="34" t="s">
        <v>384</v>
      </c>
      <c r="J520" s="34" t="s">
        <v>444</v>
      </c>
      <c r="K520" s="34" t="s">
        <v>533</v>
      </c>
      <c r="L520" s="34">
        <v>42145</v>
      </c>
    </row>
    <row r="521" spans="1:12" x14ac:dyDescent="0.3">
      <c r="A521" s="34" t="s">
        <v>2052</v>
      </c>
      <c r="B521" s="34" t="s">
        <v>447</v>
      </c>
      <c r="C521" s="34">
        <v>8</v>
      </c>
      <c r="D521" s="34">
        <v>18634</v>
      </c>
      <c r="E521" s="15" t="s">
        <v>1355</v>
      </c>
      <c r="F521" s="34" t="s">
        <v>2053</v>
      </c>
      <c r="G521" s="34" t="s">
        <v>1682</v>
      </c>
      <c r="H521" s="34" t="s">
        <v>746</v>
      </c>
      <c r="I521" s="34" t="s">
        <v>384</v>
      </c>
      <c r="J521" s="34" t="s">
        <v>444</v>
      </c>
      <c r="K521" s="34" t="s">
        <v>489</v>
      </c>
      <c r="L521" s="34">
        <v>149072</v>
      </c>
    </row>
    <row r="522" spans="1:12" x14ac:dyDescent="0.3">
      <c r="A522" s="34" t="s">
        <v>2054</v>
      </c>
      <c r="B522" s="34" t="s">
        <v>524</v>
      </c>
      <c r="C522" s="34">
        <v>8</v>
      </c>
      <c r="D522" s="34">
        <v>11371</v>
      </c>
      <c r="E522" s="15" t="s">
        <v>597</v>
      </c>
      <c r="F522" s="34" t="s">
        <v>2055</v>
      </c>
      <c r="G522" s="34" t="s">
        <v>1797</v>
      </c>
      <c r="H522" s="34" t="s">
        <v>746</v>
      </c>
      <c r="I522" s="34" t="s">
        <v>384</v>
      </c>
      <c r="J522" s="34" t="s">
        <v>457</v>
      </c>
      <c r="K522" s="34" t="s">
        <v>445</v>
      </c>
      <c r="L522" s="34">
        <v>90968</v>
      </c>
    </row>
    <row r="523" spans="1:12" x14ac:dyDescent="0.3">
      <c r="A523" s="34" t="s">
        <v>2056</v>
      </c>
      <c r="B523" s="34" t="s">
        <v>459</v>
      </c>
      <c r="C523" s="34">
        <v>8</v>
      </c>
      <c r="D523" s="34">
        <v>19179</v>
      </c>
      <c r="E523" s="15" t="s">
        <v>1119</v>
      </c>
      <c r="F523" s="34" t="s">
        <v>2057</v>
      </c>
      <c r="G523" s="34" t="s">
        <v>2058</v>
      </c>
      <c r="H523" s="34" t="s">
        <v>682</v>
      </c>
      <c r="I523" s="34" t="s">
        <v>384</v>
      </c>
      <c r="J523" s="34" t="s">
        <v>457</v>
      </c>
      <c r="K523" s="34" t="s">
        <v>445</v>
      </c>
      <c r="L523" s="34">
        <v>153432</v>
      </c>
    </row>
    <row r="524" spans="1:12" x14ac:dyDescent="0.3">
      <c r="A524" s="34" t="s">
        <v>2059</v>
      </c>
      <c r="B524" s="34" t="s">
        <v>510</v>
      </c>
      <c r="C524" s="34">
        <v>7</v>
      </c>
      <c r="D524" s="34">
        <v>10318</v>
      </c>
      <c r="E524" s="15" t="s">
        <v>1739</v>
      </c>
      <c r="F524" s="34" t="s">
        <v>2060</v>
      </c>
      <c r="G524" s="34" t="s">
        <v>2061</v>
      </c>
      <c r="H524" s="34" t="s">
        <v>528</v>
      </c>
      <c r="I524" s="34" t="s">
        <v>384</v>
      </c>
      <c r="J524" s="34" t="s">
        <v>470</v>
      </c>
      <c r="K524" s="34" t="s">
        <v>445</v>
      </c>
      <c r="L524" s="34">
        <v>72226</v>
      </c>
    </row>
    <row r="525" spans="1:12" x14ac:dyDescent="0.3">
      <c r="A525" s="34" t="s">
        <v>2062</v>
      </c>
      <c r="B525" s="34" t="s">
        <v>459</v>
      </c>
      <c r="C525" s="34">
        <v>3</v>
      </c>
      <c r="D525" s="34">
        <v>8216</v>
      </c>
      <c r="E525" s="15" t="s">
        <v>2063</v>
      </c>
      <c r="F525" s="34" t="s">
        <v>2064</v>
      </c>
      <c r="G525" s="34" t="s">
        <v>968</v>
      </c>
      <c r="H525" s="34" t="s">
        <v>565</v>
      </c>
      <c r="I525" s="34" t="s">
        <v>384</v>
      </c>
      <c r="J525" s="34" t="s">
        <v>470</v>
      </c>
      <c r="K525" s="34" t="s">
        <v>471</v>
      </c>
      <c r="L525" s="34">
        <v>24648</v>
      </c>
    </row>
    <row r="526" spans="1:12" x14ac:dyDescent="0.3">
      <c r="A526" s="34" t="s">
        <v>2065</v>
      </c>
      <c r="B526" s="34" t="s">
        <v>459</v>
      </c>
      <c r="C526" s="34">
        <v>7</v>
      </c>
      <c r="D526" s="34">
        <v>7195</v>
      </c>
      <c r="E526" s="15" t="s">
        <v>1447</v>
      </c>
      <c r="F526" s="34" t="s">
        <v>2066</v>
      </c>
      <c r="G526" s="34" t="s">
        <v>1532</v>
      </c>
      <c r="H526" s="34" t="s">
        <v>595</v>
      </c>
      <c r="I526" s="34" t="s">
        <v>384</v>
      </c>
      <c r="J526" s="34" t="s">
        <v>470</v>
      </c>
      <c r="K526" s="34" t="s">
        <v>471</v>
      </c>
      <c r="L526" s="34">
        <v>50365</v>
      </c>
    </row>
    <row r="527" spans="1:12" x14ac:dyDescent="0.3">
      <c r="A527" s="34" t="s">
        <v>2067</v>
      </c>
      <c r="B527" s="34" t="s">
        <v>459</v>
      </c>
      <c r="C527" s="34">
        <v>1</v>
      </c>
      <c r="D527" s="34">
        <v>5278</v>
      </c>
      <c r="E527" s="15" t="s">
        <v>2068</v>
      </c>
      <c r="F527" s="34" t="s">
        <v>2069</v>
      </c>
      <c r="G527" s="34" t="s">
        <v>666</v>
      </c>
      <c r="H527" s="34" t="s">
        <v>595</v>
      </c>
      <c r="I527" s="34" t="s">
        <v>384</v>
      </c>
      <c r="J527" s="34" t="s">
        <v>444</v>
      </c>
      <c r="K527" s="34" t="s">
        <v>533</v>
      </c>
      <c r="L527" s="34">
        <v>5278</v>
      </c>
    </row>
    <row r="528" spans="1:12" x14ac:dyDescent="0.3">
      <c r="A528" s="34" t="s">
        <v>2070</v>
      </c>
      <c r="B528" s="34" t="s">
        <v>459</v>
      </c>
      <c r="C528" s="34">
        <v>3</v>
      </c>
      <c r="D528" s="34">
        <v>13531</v>
      </c>
      <c r="E528" s="15" t="s">
        <v>1234</v>
      </c>
      <c r="F528" s="34" t="s">
        <v>2071</v>
      </c>
      <c r="G528" s="34" t="s">
        <v>1236</v>
      </c>
      <c r="H528" s="34" t="s">
        <v>618</v>
      </c>
      <c r="I528" s="34" t="s">
        <v>384</v>
      </c>
      <c r="J528" s="34" t="s">
        <v>457</v>
      </c>
      <c r="K528" s="34" t="s">
        <v>445</v>
      </c>
      <c r="L528" s="34">
        <v>40593</v>
      </c>
    </row>
    <row r="529" spans="1:12" x14ac:dyDescent="0.3">
      <c r="A529" s="34" t="s">
        <v>2072</v>
      </c>
      <c r="B529" s="34" t="s">
        <v>484</v>
      </c>
      <c r="C529" s="34">
        <v>8</v>
      </c>
      <c r="D529" s="34">
        <v>5530</v>
      </c>
      <c r="E529" s="15" t="s">
        <v>1515</v>
      </c>
      <c r="F529" s="34" t="s">
        <v>2073</v>
      </c>
      <c r="G529" s="34" t="s">
        <v>999</v>
      </c>
      <c r="H529" s="34" t="s">
        <v>504</v>
      </c>
      <c r="I529" s="34" t="s">
        <v>384</v>
      </c>
      <c r="J529" s="34" t="s">
        <v>470</v>
      </c>
      <c r="K529" s="34" t="s">
        <v>489</v>
      </c>
      <c r="L529" s="34">
        <v>44240</v>
      </c>
    </row>
    <row r="530" spans="1:12" x14ac:dyDescent="0.3">
      <c r="A530" s="34" t="s">
        <v>2074</v>
      </c>
      <c r="B530" s="34" t="s">
        <v>484</v>
      </c>
      <c r="C530" s="34">
        <v>8</v>
      </c>
      <c r="D530" s="34">
        <v>10025</v>
      </c>
      <c r="E530" s="15" t="s">
        <v>1597</v>
      </c>
      <c r="F530" s="34" t="s">
        <v>2075</v>
      </c>
      <c r="G530" s="34" t="s">
        <v>686</v>
      </c>
      <c r="H530" s="34" t="s">
        <v>565</v>
      </c>
      <c r="I530" s="34" t="s">
        <v>384</v>
      </c>
      <c r="J530" s="34" t="s">
        <v>444</v>
      </c>
      <c r="K530" s="34" t="s">
        <v>445</v>
      </c>
      <c r="L530" s="34">
        <v>80200</v>
      </c>
    </row>
    <row r="531" spans="1:12" x14ac:dyDescent="0.3">
      <c r="A531" s="34" t="s">
        <v>2076</v>
      </c>
      <c r="B531" s="34" t="s">
        <v>439</v>
      </c>
      <c r="C531" s="34">
        <v>3</v>
      </c>
      <c r="D531" s="34">
        <v>11906</v>
      </c>
      <c r="E531" s="15" t="s">
        <v>448</v>
      </c>
      <c r="F531" s="34" t="s">
        <v>2077</v>
      </c>
      <c r="G531" s="34" t="s">
        <v>559</v>
      </c>
      <c r="H531" s="34" t="s">
        <v>595</v>
      </c>
      <c r="I531" s="34" t="s">
        <v>384</v>
      </c>
      <c r="J531" s="34" t="s">
        <v>444</v>
      </c>
      <c r="K531" s="34" t="s">
        <v>178</v>
      </c>
      <c r="L531" s="34">
        <v>35718</v>
      </c>
    </row>
    <row r="532" spans="1:12" x14ac:dyDescent="0.3">
      <c r="A532" s="34" t="s">
        <v>2078</v>
      </c>
      <c r="B532" s="34" t="s">
        <v>506</v>
      </c>
      <c r="C532" s="34">
        <v>7</v>
      </c>
      <c r="D532" s="34">
        <v>9208</v>
      </c>
      <c r="E532" s="15" t="s">
        <v>696</v>
      </c>
      <c r="F532" s="34" t="s">
        <v>2079</v>
      </c>
      <c r="G532" s="34" t="s">
        <v>1513</v>
      </c>
      <c r="H532" s="34" t="s">
        <v>754</v>
      </c>
      <c r="I532" s="34" t="s">
        <v>384</v>
      </c>
      <c r="J532" s="34" t="s">
        <v>444</v>
      </c>
      <c r="K532" s="34" t="s">
        <v>533</v>
      </c>
      <c r="L532" s="34">
        <v>64456</v>
      </c>
    </row>
    <row r="533" spans="1:12" x14ac:dyDescent="0.3">
      <c r="A533" s="34" t="s">
        <v>2080</v>
      </c>
      <c r="B533" s="34" t="s">
        <v>478</v>
      </c>
      <c r="C533" s="34">
        <v>2</v>
      </c>
      <c r="D533" s="34">
        <v>11414</v>
      </c>
      <c r="E533" s="15" t="s">
        <v>783</v>
      </c>
      <c r="F533" s="34" t="s">
        <v>2081</v>
      </c>
      <c r="G533" s="34" t="s">
        <v>1311</v>
      </c>
      <c r="H533" s="34" t="s">
        <v>754</v>
      </c>
      <c r="I533" s="34" t="s">
        <v>384</v>
      </c>
      <c r="J533" s="34" t="s">
        <v>470</v>
      </c>
      <c r="K533" s="34" t="s">
        <v>445</v>
      </c>
      <c r="L533" s="34">
        <v>22828</v>
      </c>
    </row>
    <row r="534" spans="1:12" x14ac:dyDescent="0.3">
      <c r="A534" s="34" t="s">
        <v>2082</v>
      </c>
      <c r="B534" s="34" t="s">
        <v>459</v>
      </c>
      <c r="C534" s="34">
        <v>4</v>
      </c>
      <c r="D534" s="34">
        <v>8430</v>
      </c>
      <c r="E534" s="15" t="s">
        <v>1348</v>
      </c>
      <c r="F534" s="34" t="s">
        <v>2083</v>
      </c>
      <c r="G534" s="34" t="s">
        <v>555</v>
      </c>
      <c r="H534" s="34" t="s">
        <v>682</v>
      </c>
      <c r="I534" s="34" t="s">
        <v>384</v>
      </c>
      <c r="J534" s="34" t="s">
        <v>457</v>
      </c>
      <c r="K534" s="34" t="s">
        <v>178</v>
      </c>
      <c r="L534" s="34">
        <v>33720</v>
      </c>
    </row>
    <row r="535" spans="1:12" x14ac:dyDescent="0.3">
      <c r="A535" s="34" t="s">
        <v>2084</v>
      </c>
      <c r="B535" s="34" t="s">
        <v>524</v>
      </c>
      <c r="C535" s="34">
        <v>8</v>
      </c>
      <c r="D535" s="34">
        <v>11339</v>
      </c>
      <c r="E535" s="15" t="s">
        <v>2085</v>
      </c>
      <c r="F535" s="34" t="s">
        <v>2086</v>
      </c>
      <c r="G535" s="34" t="s">
        <v>1343</v>
      </c>
      <c r="H535" s="34" t="s">
        <v>499</v>
      </c>
      <c r="I535" s="34" t="s">
        <v>384</v>
      </c>
      <c r="J535" s="34" t="s">
        <v>444</v>
      </c>
      <c r="K535" s="34" t="s">
        <v>178</v>
      </c>
      <c r="L535" s="34">
        <v>90712</v>
      </c>
    </row>
    <row r="536" spans="1:12" x14ac:dyDescent="0.3">
      <c r="A536" s="34" t="s">
        <v>2087</v>
      </c>
      <c r="B536" s="34" t="s">
        <v>510</v>
      </c>
      <c r="C536" s="34">
        <v>1</v>
      </c>
      <c r="D536" s="34">
        <v>6564</v>
      </c>
      <c r="E536" s="15" t="s">
        <v>2088</v>
      </c>
      <c r="F536" s="34" t="s">
        <v>2089</v>
      </c>
      <c r="G536" s="34" t="s">
        <v>1465</v>
      </c>
      <c r="H536" s="34" t="s">
        <v>528</v>
      </c>
      <c r="I536" s="34" t="s">
        <v>384</v>
      </c>
      <c r="J536" s="34" t="s">
        <v>470</v>
      </c>
      <c r="K536" s="34" t="s">
        <v>489</v>
      </c>
      <c r="L536" s="34">
        <v>6564</v>
      </c>
    </row>
    <row r="537" spans="1:12" x14ac:dyDescent="0.3">
      <c r="A537" s="34" t="s">
        <v>2090</v>
      </c>
      <c r="B537" s="34" t="s">
        <v>439</v>
      </c>
      <c r="C537" s="34">
        <v>6</v>
      </c>
      <c r="D537" s="34">
        <v>11791</v>
      </c>
      <c r="E537" s="15" t="s">
        <v>1075</v>
      </c>
      <c r="F537" s="34" t="s">
        <v>2091</v>
      </c>
      <c r="G537" s="34" t="s">
        <v>686</v>
      </c>
      <c r="H537" s="34" t="s">
        <v>710</v>
      </c>
      <c r="I537" s="34" t="s">
        <v>384</v>
      </c>
      <c r="J537" s="34" t="s">
        <v>470</v>
      </c>
      <c r="K537" s="34" t="s">
        <v>445</v>
      </c>
      <c r="L537" s="34">
        <v>70746</v>
      </c>
    </row>
    <row r="538" spans="1:12" x14ac:dyDescent="0.3">
      <c r="A538" s="34" t="s">
        <v>2092</v>
      </c>
      <c r="B538" s="34" t="s">
        <v>510</v>
      </c>
      <c r="C538" s="34">
        <v>5</v>
      </c>
      <c r="D538" s="34">
        <v>6868</v>
      </c>
      <c r="E538" s="15" t="s">
        <v>592</v>
      </c>
      <c r="F538" s="34" t="s">
        <v>2093</v>
      </c>
      <c r="G538" s="34" t="s">
        <v>1451</v>
      </c>
      <c r="H538" s="34" t="s">
        <v>618</v>
      </c>
      <c r="I538" s="34" t="s">
        <v>384</v>
      </c>
      <c r="J538" s="34" t="s">
        <v>470</v>
      </c>
      <c r="K538" s="34" t="s">
        <v>178</v>
      </c>
      <c r="L538" s="34">
        <v>34340</v>
      </c>
    </row>
    <row r="539" spans="1:12" x14ac:dyDescent="0.3">
      <c r="A539" s="34" t="s">
        <v>2094</v>
      </c>
      <c r="B539" s="34" t="s">
        <v>447</v>
      </c>
      <c r="C539" s="34">
        <v>6</v>
      </c>
      <c r="D539" s="34">
        <v>6980</v>
      </c>
      <c r="E539" s="15" t="s">
        <v>1803</v>
      </c>
      <c r="F539" s="34" t="s">
        <v>2095</v>
      </c>
      <c r="G539" s="34" t="s">
        <v>964</v>
      </c>
      <c r="H539" s="34" t="s">
        <v>595</v>
      </c>
      <c r="I539" s="34" t="s">
        <v>384</v>
      </c>
      <c r="J539" s="34" t="s">
        <v>470</v>
      </c>
      <c r="K539" s="34" t="s">
        <v>471</v>
      </c>
      <c r="L539" s="34">
        <v>41880</v>
      </c>
    </row>
    <row r="540" spans="1:12" x14ac:dyDescent="0.3">
      <c r="A540" s="34" t="s">
        <v>2096</v>
      </c>
      <c r="B540" s="34" t="s">
        <v>495</v>
      </c>
      <c r="C540" s="34">
        <v>6</v>
      </c>
      <c r="D540" s="34">
        <v>11373</v>
      </c>
      <c r="E540" s="15" t="s">
        <v>2097</v>
      </c>
      <c r="F540" s="34" t="s">
        <v>2098</v>
      </c>
      <c r="G540" s="34" t="s">
        <v>971</v>
      </c>
      <c r="H540" s="34" t="s">
        <v>469</v>
      </c>
      <c r="I540" s="34" t="s">
        <v>384</v>
      </c>
      <c r="J540" s="34" t="s">
        <v>457</v>
      </c>
      <c r="K540" s="34" t="s">
        <v>178</v>
      </c>
      <c r="L540" s="34">
        <v>68238</v>
      </c>
    </row>
    <row r="541" spans="1:12" x14ac:dyDescent="0.3">
      <c r="A541" s="34" t="s">
        <v>2099</v>
      </c>
      <c r="B541" s="34" t="s">
        <v>510</v>
      </c>
      <c r="C541" s="34">
        <v>4</v>
      </c>
      <c r="D541" s="34">
        <v>17165</v>
      </c>
      <c r="E541" s="15" t="s">
        <v>2100</v>
      </c>
      <c r="F541" s="34" t="s">
        <v>2101</v>
      </c>
      <c r="G541" s="34" t="s">
        <v>921</v>
      </c>
      <c r="H541" s="34" t="s">
        <v>443</v>
      </c>
      <c r="I541" s="34" t="s">
        <v>384</v>
      </c>
      <c r="J541" s="34" t="s">
        <v>444</v>
      </c>
      <c r="K541" s="34" t="s">
        <v>533</v>
      </c>
      <c r="L541" s="34">
        <v>68660</v>
      </c>
    </row>
    <row r="542" spans="1:12" x14ac:dyDescent="0.3">
      <c r="A542" s="34" t="s">
        <v>2102</v>
      </c>
      <c r="B542" s="34" t="s">
        <v>524</v>
      </c>
      <c r="C542" s="34">
        <v>9</v>
      </c>
      <c r="D542" s="34">
        <v>2603</v>
      </c>
      <c r="E542" s="15" t="s">
        <v>2103</v>
      </c>
      <c r="F542" s="34" t="s">
        <v>2104</v>
      </c>
      <c r="G542" s="34" t="s">
        <v>1549</v>
      </c>
      <c r="H542" s="34" t="s">
        <v>469</v>
      </c>
      <c r="I542" s="34" t="s">
        <v>384</v>
      </c>
      <c r="J542" s="34" t="s">
        <v>444</v>
      </c>
      <c r="K542" s="34" t="s">
        <v>533</v>
      </c>
      <c r="L542" s="34">
        <v>23427</v>
      </c>
    </row>
    <row r="543" spans="1:12" x14ac:dyDescent="0.3">
      <c r="A543" s="34" t="s">
        <v>2105</v>
      </c>
      <c r="B543" s="34" t="s">
        <v>510</v>
      </c>
      <c r="C543" s="34">
        <v>1</v>
      </c>
      <c r="D543" s="34">
        <v>8234</v>
      </c>
      <c r="E543" s="15" t="s">
        <v>1180</v>
      </c>
      <c r="F543" s="34" t="s">
        <v>2106</v>
      </c>
      <c r="G543" s="34" t="s">
        <v>1121</v>
      </c>
      <c r="H543" s="34" t="s">
        <v>710</v>
      </c>
      <c r="I543" s="34" t="s">
        <v>384</v>
      </c>
      <c r="J543" s="34" t="s">
        <v>444</v>
      </c>
      <c r="K543" s="34" t="s">
        <v>178</v>
      </c>
      <c r="L543" s="34">
        <v>8234</v>
      </c>
    </row>
    <row r="544" spans="1:12" x14ac:dyDescent="0.3">
      <c r="A544" s="34" t="s">
        <v>2107</v>
      </c>
      <c r="B544" s="34" t="s">
        <v>478</v>
      </c>
      <c r="C544" s="34">
        <v>2</v>
      </c>
      <c r="D544" s="34">
        <v>13802</v>
      </c>
      <c r="E544" s="15" t="s">
        <v>2100</v>
      </c>
      <c r="F544" s="34" t="s">
        <v>2108</v>
      </c>
      <c r="G544" s="34" t="s">
        <v>1662</v>
      </c>
      <c r="H544" s="34" t="s">
        <v>528</v>
      </c>
      <c r="I544" s="34" t="s">
        <v>384</v>
      </c>
      <c r="J544" s="34" t="s">
        <v>470</v>
      </c>
      <c r="K544" s="34" t="s">
        <v>178</v>
      </c>
      <c r="L544" s="34">
        <v>27604</v>
      </c>
    </row>
    <row r="545" spans="1:12" x14ac:dyDescent="0.3">
      <c r="A545" s="34" t="s">
        <v>2109</v>
      </c>
      <c r="B545" s="34" t="s">
        <v>447</v>
      </c>
      <c r="C545" s="34">
        <v>6</v>
      </c>
      <c r="D545" s="34">
        <v>8066</v>
      </c>
      <c r="E545" s="15" t="s">
        <v>2110</v>
      </c>
      <c r="F545" s="34" t="s">
        <v>2111</v>
      </c>
      <c r="G545" s="34" t="s">
        <v>2112</v>
      </c>
      <c r="H545" s="34" t="s">
        <v>514</v>
      </c>
      <c r="I545" s="34" t="s">
        <v>384</v>
      </c>
      <c r="J545" s="34" t="s">
        <v>457</v>
      </c>
      <c r="K545" s="34" t="s">
        <v>533</v>
      </c>
      <c r="L545" s="34">
        <v>48396</v>
      </c>
    </row>
    <row r="546" spans="1:12" x14ac:dyDescent="0.3">
      <c r="A546" s="34" t="s">
        <v>2113</v>
      </c>
      <c r="B546" s="34" t="s">
        <v>506</v>
      </c>
      <c r="C546" s="34">
        <v>5</v>
      </c>
      <c r="D546" s="34">
        <v>12463</v>
      </c>
      <c r="E546" s="15" t="s">
        <v>1059</v>
      </c>
      <c r="F546" s="34" t="s">
        <v>2114</v>
      </c>
      <c r="G546" s="34" t="s">
        <v>2115</v>
      </c>
      <c r="H546" s="34" t="s">
        <v>565</v>
      </c>
      <c r="I546" s="34" t="s">
        <v>384</v>
      </c>
      <c r="J546" s="34" t="s">
        <v>444</v>
      </c>
      <c r="K546" s="34" t="s">
        <v>489</v>
      </c>
      <c r="L546" s="34">
        <v>62315</v>
      </c>
    </row>
    <row r="547" spans="1:12" x14ac:dyDescent="0.3">
      <c r="A547" s="34" t="s">
        <v>2116</v>
      </c>
      <c r="B547" s="34" t="s">
        <v>524</v>
      </c>
      <c r="C547" s="34">
        <v>2</v>
      </c>
      <c r="D547" s="34">
        <v>12001</v>
      </c>
      <c r="E547" s="15" t="s">
        <v>2117</v>
      </c>
      <c r="F547" s="34" t="s">
        <v>2118</v>
      </c>
      <c r="G547" s="34" t="s">
        <v>729</v>
      </c>
      <c r="H547" s="34" t="s">
        <v>710</v>
      </c>
      <c r="I547" s="34" t="s">
        <v>384</v>
      </c>
      <c r="J547" s="34" t="s">
        <v>470</v>
      </c>
      <c r="K547" s="34" t="s">
        <v>489</v>
      </c>
      <c r="L547" s="34">
        <v>24002</v>
      </c>
    </row>
    <row r="548" spans="1:12" x14ac:dyDescent="0.3">
      <c r="A548" s="34" t="s">
        <v>2119</v>
      </c>
      <c r="B548" s="34" t="s">
        <v>447</v>
      </c>
      <c r="C548" s="34">
        <v>6</v>
      </c>
      <c r="D548" s="34">
        <v>9992</v>
      </c>
      <c r="E548" s="15" t="s">
        <v>2120</v>
      </c>
      <c r="F548" s="34" t="s">
        <v>2121</v>
      </c>
      <c r="G548" s="34" t="s">
        <v>532</v>
      </c>
      <c r="H548" s="34" t="s">
        <v>538</v>
      </c>
      <c r="I548" s="34" t="s">
        <v>384</v>
      </c>
      <c r="J548" s="34" t="s">
        <v>470</v>
      </c>
      <c r="K548" s="34" t="s">
        <v>471</v>
      </c>
      <c r="L548" s="34">
        <v>59952</v>
      </c>
    </row>
    <row r="549" spans="1:12" x14ac:dyDescent="0.3">
      <c r="A549" s="34" t="s">
        <v>2122</v>
      </c>
      <c r="B549" s="34" t="s">
        <v>524</v>
      </c>
      <c r="C549" s="34">
        <v>1</v>
      </c>
      <c r="D549" s="34">
        <v>17347</v>
      </c>
      <c r="E549" s="15" t="s">
        <v>553</v>
      </c>
      <c r="F549" s="34" t="s">
        <v>2123</v>
      </c>
      <c r="G549" s="34" t="s">
        <v>2124</v>
      </c>
      <c r="H549" s="34" t="s">
        <v>639</v>
      </c>
      <c r="I549" s="34" t="s">
        <v>384</v>
      </c>
      <c r="J549" s="34" t="s">
        <v>457</v>
      </c>
      <c r="K549" s="34" t="s">
        <v>489</v>
      </c>
      <c r="L549" s="34">
        <v>17347</v>
      </c>
    </row>
    <row r="550" spans="1:12" x14ac:dyDescent="0.3">
      <c r="A550" s="34" t="s">
        <v>2125</v>
      </c>
      <c r="B550" s="34" t="s">
        <v>510</v>
      </c>
      <c r="C550" s="34">
        <v>7</v>
      </c>
      <c r="D550" s="34">
        <v>10393</v>
      </c>
      <c r="E550" s="15" t="s">
        <v>525</v>
      </c>
      <c r="F550" s="34" t="s">
        <v>2126</v>
      </c>
      <c r="G550" s="34" t="s">
        <v>1239</v>
      </c>
      <c r="H550" s="34" t="s">
        <v>543</v>
      </c>
      <c r="I550" s="34" t="s">
        <v>384</v>
      </c>
      <c r="J550" s="34" t="s">
        <v>444</v>
      </c>
      <c r="K550" s="34" t="s">
        <v>533</v>
      </c>
      <c r="L550" s="34">
        <v>72751</v>
      </c>
    </row>
    <row r="551" spans="1:12" x14ac:dyDescent="0.3">
      <c r="A551" s="34" t="s">
        <v>2127</v>
      </c>
      <c r="B551" s="34" t="s">
        <v>465</v>
      </c>
      <c r="C551" s="34">
        <v>9</v>
      </c>
      <c r="D551" s="34">
        <v>14079</v>
      </c>
      <c r="E551" s="15" t="s">
        <v>929</v>
      </c>
      <c r="F551" s="34" t="s">
        <v>2128</v>
      </c>
      <c r="G551" s="34" t="s">
        <v>1069</v>
      </c>
      <c r="H551" s="34" t="s">
        <v>451</v>
      </c>
      <c r="I551" s="34" t="s">
        <v>384</v>
      </c>
      <c r="J551" s="34" t="s">
        <v>457</v>
      </c>
      <c r="K551" s="34" t="s">
        <v>533</v>
      </c>
      <c r="L551" s="34">
        <v>126711</v>
      </c>
    </row>
    <row r="552" spans="1:12" x14ac:dyDescent="0.3">
      <c r="A552" s="34" t="s">
        <v>2129</v>
      </c>
      <c r="B552" s="34" t="s">
        <v>478</v>
      </c>
      <c r="C552" s="34">
        <v>9</v>
      </c>
      <c r="D552" s="34">
        <v>4096</v>
      </c>
      <c r="E552" s="15" t="s">
        <v>1093</v>
      </c>
      <c r="F552" s="34" t="s">
        <v>2130</v>
      </c>
      <c r="G552" s="34" t="s">
        <v>1353</v>
      </c>
      <c r="H552" s="34" t="s">
        <v>694</v>
      </c>
      <c r="I552" s="34" t="s">
        <v>384</v>
      </c>
      <c r="J552" s="34" t="s">
        <v>444</v>
      </c>
      <c r="K552" s="34" t="s">
        <v>471</v>
      </c>
      <c r="L552" s="34">
        <v>36864</v>
      </c>
    </row>
    <row r="553" spans="1:12" x14ac:dyDescent="0.3">
      <c r="A553" s="34" t="s">
        <v>2131</v>
      </c>
      <c r="B553" s="34" t="s">
        <v>465</v>
      </c>
      <c r="C553" s="34">
        <v>7</v>
      </c>
      <c r="D553" s="34">
        <v>4366</v>
      </c>
      <c r="E553" s="15" t="s">
        <v>1508</v>
      </c>
      <c r="F553" s="34" t="s">
        <v>2132</v>
      </c>
      <c r="G553" s="34" t="s">
        <v>1431</v>
      </c>
      <c r="H553" s="34" t="s">
        <v>443</v>
      </c>
      <c r="I553" s="34" t="s">
        <v>384</v>
      </c>
      <c r="J553" s="34" t="s">
        <v>444</v>
      </c>
      <c r="K553" s="34" t="s">
        <v>471</v>
      </c>
      <c r="L553" s="34">
        <v>30562</v>
      </c>
    </row>
    <row r="554" spans="1:12" x14ac:dyDescent="0.3">
      <c r="A554" s="34" t="s">
        <v>2133</v>
      </c>
      <c r="B554" s="34" t="s">
        <v>524</v>
      </c>
      <c r="C554" s="34">
        <v>4</v>
      </c>
      <c r="D554" s="34">
        <v>17304</v>
      </c>
      <c r="E554" s="15" t="s">
        <v>1309</v>
      </c>
      <c r="F554" s="34" t="s">
        <v>2134</v>
      </c>
      <c r="G554" s="34" t="s">
        <v>547</v>
      </c>
      <c r="H554" s="34" t="s">
        <v>618</v>
      </c>
      <c r="I554" s="34" t="s">
        <v>384</v>
      </c>
      <c r="J554" s="34" t="s">
        <v>444</v>
      </c>
      <c r="K554" s="34" t="s">
        <v>178</v>
      </c>
      <c r="L554" s="34">
        <v>69216</v>
      </c>
    </row>
    <row r="555" spans="1:12" x14ac:dyDescent="0.3">
      <c r="A555" s="34" t="s">
        <v>2135</v>
      </c>
      <c r="B555" s="34" t="s">
        <v>510</v>
      </c>
      <c r="C555" s="34">
        <v>5</v>
      </c>
      <c r="D555" s="34">
        <v>5077</v>
      </c>
      <c r="E555" s="15" t="s">
        <v>1381</v>
      </c>
      <c r="F555" s="34" t="s">
        <v>2136</v>
      </c>
      <c r="G555" s="34" t="s">
        <v>1182</v>
      </c>
      <c r="H555" s="34" t="s">
        <v>469</v>
      </c>
      <c r="I555" s="34" t="s">
        <v>384</v>
      </c>
      <c r="J555" s="34" t="s">
        <v>470</v>
      </c>
      <c r="K555" s="34" t="s">
        <v>533</v>
      </c>
      <c r="L555" s="34">
        <v>25385</v>
      </c>
    </row>
    <row r="556" spans="1:12" x14ac:dyDescent="0.3">
      <c r="A556" s="34" t="s">
        <v>2137</v>
      </c>
      <c r="B556" s="34" t="s">
        <v>447</v>
      </c>
      <c r="C556" s="34">
        <v>5</v>
      </c>
      <c r="D556" s="34">
        <v>9777</v>
      </c>
      <c r="E556" s="15" t="s">
        <v>1119</v>
      </c>
      <c r="F556" s="34" t="s">
        <v>2138</v>
      </c>
      <c r="G556" s="34" t="s">
        <v>781</v>
      </c>
      <c r="H556" s="34" t="s">
        <v>595</v>
      </c>
      <c r="I556" s="34" t="s">
        <v>384</v>
      </c>
      <c r="J556" s="34" t="s">
        <v>470</v>
      </c>
      <c r="K556" s="34" t="s">
        <v>489</v>
      </c>
      <c r="L556" s="34">
        <v>48885</v>
      </c>
    </row>
    <row r="557" spans="1:12" x14ac:dyDescent="0.3">
      <c r="A557" s="34" t="s">
        <v>2139</v>
      </c>
      <c r="B557" s="34" t="s">
        <v>459</v>
      </c>
      <c r="C557" s="34">
        <v>4</v>
      </c>
      <c r="D557" s="34">
        <v>2055</v>
      </c>
      <c r="E557" s="15" t="s">
        <v>2140</v>
      </c>
      <c r="F557" s="34" t="s">
        <v>2141</v>
      </c>
      <c r="G557" s="34" t="s">
        <v>1609</v>
      </c>
      <c r="H557" s="34" t="s">
        <v>746</v>
      </c>
      <c r="I557" s="34" t="s">
        <v>384</v>
      </c>
      <c r="J557" s="34" t="s">
        <v>470</v>
      </c>
      <c r="K557" s="34" t="s">
        <v>533</v>
      </c>
      <c r="L557" s="34">
        <v>8220</v>
      </c>
    </row>
    <row r="558" spans="1:12" x14ac:dyDescent="0.3">
      <c r="A558" s="34" t="s">
        <v>2142</v>
      </c>
      <c r="B558" s="34" t="s">
        <v>524</v>
      </c>
      <c r="C558" s="34">
        <v>7</v>
      </c>
      <c r="D558" s="34">
        <v>9644</v>
      </c>
      <c r="E558" s="15" t="s">
        <v>1207</v>
      </c>
      <c r="F558" s="34" t="s">
        <v>2143</v>
      </c>
      <c r="G558" s="34" t="s">
        <v>1585</v>
      </c>
      <c r="H558" s="34" t="s">
        <v>583</v>
      </c>
      <c r="I558" s="34" t="s">
        <v>384</v>
      </c>
      <c r="J558" s="34" t="s">
        <v>470</v>
      </c>
      <c r="K558" s="34" t="s">
        <v>471</v>
      </c>
      <c r="L558" s="34">
        <v>67508</v>
      </c>
    </row>
    <row r="559" spans="1:12" x14ac:dyDescent="0.3">
      <c r="A559" s="34" t="s">
        <v>2144</v>
      </c>
      <c r="B559" s="34" t="s">
        <v>524</v>
      </c>
      <c r="C559" s="34">
        <v>6</v>
      </c>
      <c r="D559" s="34">
        <v>4086</v>
      </c>
      <c r="E559" s="15" t="s">
        <v>904</v>
      </c>
      <c r="F559" s="34" t="s">
        <v>2145</v>
      </c>
      <c r="G559" s="34" t="s">
        <v>2020</v>
      </c>
      <c r="H559" s="34" t="s">
        <v>456</v>
      </c>
      <c r="I559" s="34" t="s">
        <v>384</v>
      </c>
      <c r="J559" s="34" t="s">
        <v>470</v>
      </c>
      <c r="K559" s="34" t="s">
        <v>471</v>
      </c>
      <c r="L559" s="34">
        <v>24516</v>
      </c>
    </row>
    <row r="560" spans="1:12" x14ac:dyDescent="0.3">
      <c r="A560" s="34" t="s">
        <v>2146</v>
      </c>
      <c r="B560" s="34" t="s">
        <v>447</v>
      </c>
      <c r="C560" s="34">
        <v>9</v>
      </c>
      <c r="D560" s="34">
        <v>14849</v>
      </c>
      <c r="E560" s="15" t="s">
        <v>1967</v>
      </c>
      <c r="F560" s="34" t="s">
        <v>2147</v>
      </c>
      <c r="G560" s="34" t="s">
        <v>906</v>
      </c>
      <c r="H560" s="34" t="s">
        <v>694</v>
      </c>
      <c r="I560" s="34" t="s">
        <v>384</v>
      </c>
      <c r="J560" s="34" t="s">
        <v>457</v>
      </c>
      <c r="K560" s="34" t="s">
        <v>178</v>
      </c>
      <c r="L560" s="34">
        <v>133641</v>
      </c>
    </row>
    <row r="561" spans="1:12" x14ac:dyDescent="0.3">
      <c r="A561" s="34" t="s">
        <v>2148</v>
      </c>
      <c r="B561" s="34" t="s">
        <v>495</v>
      </c>
      <c r="C561" s="34">
        <v>2</v>
      </c>
      <c r="D561" s="34">
        <v>4312</v>
      </c>
      <c r="E561" s="15" t="s">
        <v>1636</v>
      </c>
      <c r="F561" s="34" t="s">
        <v>2149</v>
      </c>
      <c r="G561" s="34" t="s">
        <v>1239</v>
      </c>
      <c r="H561" s="34" t="s">
        <v>518</v>
      </c>
      <c r="I561" s="34" t="s">
        <v>384</v>
      </c>
      <c r="J561" s="34" t="s">
        <v>457</v>
      </c>
      <c r="K561" s="34" t="s">
        <v>178</v>
      </c>
      <c r="L561" s="34">
        <v>8624</v>
      </c>
    </row>
    <row r="562" spans="1:12" x14ac:dyDescent="0.3">
      <c r="A562" s="34" t="s">
        <v>2150</v>
      </c>
      <c r="B562" s="34" t="s">
        <v>439</v>
      </c>
      <c r="C562" s="34">
        <v>4</v>
      </c>
      <c r="D562" s="34">
        <v>7442</v>
      </c>
      <c r="E562" s="15" t="s">
        <v>997</v>
      </c>
      <c r="F562" s="34" t="s">
        <v>2151</v>
      </c>
      <c r="G562" s="34" t="s">
        <v>1025</v>
      </c>
      <c r="H562" s="34" t="s">
        <v>618</v>
      </c>
      <c r="I562" s="34" t="s">
        <v>384</v>
      </c>
      <c r="J562" s="34" t="s">
        <v>470</v>
      </c>
      <c r="K562" s="34" t="s">
        <v>489</v>
      </c>
      <c r="L562" s="34">
        <v>29768</v>
      </c>
    </row>
    <row r="563" spans="1:12" x14ac:dyDescent="0.3">
      <c r="A563" s="34" t="s">
        <v>2152</v>
      </c>
      <c r="B563" s="34" t="s">
        <v>447</v>
      </c>
      <c r="C563" s="34">
        <v>9</v>
      </c>
      <c r="D563" s="34">
        <v>17627</v>
      </c>
      <c r="E563" s="15" t="s">
        <v>700</v>
      </c>
      <c r="F563" s="34" t="s">
        <v>2153</v>
      </c>
      <c r="G563" s="34" t="s">
        <v>875</v>
      </c>
      <c r="H563" s="34" t="s">
        <v>694</v>
      </c>
      <c r="I563" s="34" t="s">
        <v>384</v>
      </c>
      <c r="J563" s="34" t="s">
        <v>457</v>
      </c>
      <c r="K563" s="34" t="s">
        <v>178</v>
      </c>
      <c r="L563" s="34">
        <v>158643</v>
      </c>
    </row>
    <row r="564" spans="1:12" x14ac:dyDescent="0.3">
      <c r="A564" s="34" t="s">
        <v>2154</v>
      </c>
      <c r="B564" s="34" t="s">
        <v>510</v>
      </c>
      <c r="C564" s="34">
        <v>2</v>
      </c>
      <c r="D564" s="34">
        <v>5466</v>
      </c>
      <c r="E564" s="15" t="s">
        <v>641</v>
      </c>
      <c r="F564" s="34" t="s">
        <v>2155</v>
      </c>
      <c r="G564" s="34" t="s">
        <v>2156</v>
      </c>
      <c r="H564" s="34" t="s">
        <v>583</v>
      </c>
      <c r="I564" s="34" t="s">
        <v>384</v>
      </c>
      <c r="J564" s="34" t="s">
        <v>457</v>
      </c>
      <c r="K564" s="34" t="s">
        <v>471</v>
      </c>
      <c r="L564" s="34">
        <v>10932</v>
      </c>
    </row>
    <row r="565" spans="1:12" x14ac:dyDescent="0.3">
      <c r="A565" s="34" t="s">
        <v>2157</v>
      </c>
      <c r="B565" s="34" t="s">
        <v>510</v>
      </c>
      <c r="C565" s="34">
        <v>6</v>
      </c>
      <c r="D565" s="34">
        <v>6116</v>
      </c>
      <c r="E565" s="15" t="s">
        <v>880</v>
      </c>
      <c r="F565" s="34" t="s">
        <v>2158</v>
      </c>
      <c r="G565" s="34" t="s">
        <v>2115</v>
      </c>
      <c r="H565" s="34" t="s">
        <v>456</v>
      </c>
      <c r="I565" s="34" t="s">
        <v>384</v>
      </c>
      <c r="J565" s="34" t="s">
        <v>444</v>
      </c>
      <c r="K565" s="34" t="s">
        <v>533</v>
      </c>
      <c r="L565" s="34">
        <v>36696</v>
      </c>
    </row>
    <row r="566" spans="1:12" x14ac:dyDescent="0.3">
      <c r="A566" s="34" t="s">
        <v>2159</v>
      </c>
      <c r="B566" s="34" t="s">
        <v>465</v>
      </c>
      <c r="C566" s="34">
        <v>9</v>
      </c>
      <c r="D566" s="34">
        <v>11316</v>
      </c>
      <c r="E566" s="15" t="s">
        <v>798</v>
      </c>
      <c r="F566" s="34" t="s">
        <v>2160</v>
      </c>
      <c r="G566" s="34" t="s">
        <v>992</v>
      </c>
      <c r="H566" s="34" t="s">
        <v>651</v>
      </c>
      <c r="I566" s="34" t="s">
        <v>384</v>
      </c>
      <c r="J566" s="34" t="s">
        <v>444</v>
      </c>
      <c r="K566" s="34" t="s">
        <v>533</v>
      </c>
      <c r="L566" s="34">
        <v>101844</v>
      </c>
    </row>
    <row r="567" spans="1:12" x14ac:dyDescent="0.3">
      <c r="A567" s="34" t="s">
        <v>2161</v>
      </c>
      <c r="B567" s="34" t="s">
        <v>447</v>
      </c>
      <c r="C567" s="34">
        <v>1</v>
      </c>
      <c r="D567" s="34">
        <v>7902</v>
      </c>
      <c r="E567" s="15" t="s">
        <v>904</v>
      </c>
      <c r="F567" s="34" t="s">
        <v>2162</v>
      </c>
      <c r="G567" s="34" t="s">
        <v>758</v>
      </c>
      <c r="H567" s="34" t="s">
        <v>578</v>
      </c>
      <c r="I567" s="34" t="s">
        <v>384</v>
      </c>
      <c r="J567" s="34" t="s">
        <v>457</v>
      </c>
      <c r="K567" s="34" t="s">
        <v>489</v>
      </c>
      <c r="L567" s="34">
        <v>7902</v>
      </c>
    </row>
    <row r="568" spans="1:12" x14ac:dyDescent="0.3">
      <c r="A568" s="34" t="s">
        <v>2163</v>
      </c>
      <c r="B568" s="34" t="s">
        <v>439</v>
      </c>
      <c r="C568" s="34">
        <v>4</v>
      </c>
      <c r="D568" s="34">
        <v>5704</v>
      </c>
      <c r="E568" s="15" t="s">
        <v>1263</v>
      </c>
      <c r="F568" s="34" t="s">
        <v>2164</v>
      </c>
      <c r="G568" s="34" t="s">
        <v>647</v>
      </c>
      <c r="H568" s="34" t="s">
        <v>463</v>
      </c>
      <c r="I568" s="34" t="s">
        <v>384</v>
      </c>
      <c r="J568" s="34" t="s">
        <v>444</v>
      </c>
      <c r="K568" s="34" t="s">
        <v>445</v>
      </c>
      <c r="L568" s="34">
        <v>22816</v>
      </c>
    </row>
    <row r="569" spans="1:12" x14ac:dyDescent="0.3">
      <c r="A569" s="34" t="s">
        <v>2165</v>
      </c>
      <c r="B569" s="34" t="s">
        <v>484</v>
      </c>
      <c r="C569" s="34">
        <v>8</v>
      </c>
      <c r="D569" s="34">
        <v>2052</v>
      </c>
      <c r="E569" s="15" t="s">
        <v>1381</v>
      </c>
      <c r="F569" s="34" t="s">
        <v>2166</v>
      </c>
      <c r="G569" s="34" t="s">
        <v>547</v>
      </c>
      <c r="H569" s="34" t="s">
        <v>639</v>
      </c>
      <c r="I569" s="34" t="s">
        <v>384</v>
      </c>
      <c r="J569" s="34" t="s">
        <v>457</v>
      </c>
      <c r="K569" s="34" t="s">
        <v>533</v>
      </c>
      <c r="L569" s="34">
        <v>16416</v>
      </c>
    </row>
    <row r="570" spans="1:12" x14ac:dyDescent="0.3">
      <c r="A570" s="34" t="s">
        <v>2167</v>
      </c>
      <c r="B570" s="34" t="s">
        <v>524</v>
      </c>
      <c r="C570" s="34">
        <v>2</v>
      </c>
      <c r="D570" s="34">
        <v>10647</v>
      </c>
      <c r="E570" s="15" t="s">
        <v>549</v>
      </c>
      <c r="F570" s="34" t="s">
        <v>2168</v>
      </c>
      <c r="G570" s="34" t="s">
        <v>2169</v>
      </c>
      <c r="H570" s="34" t="s">
        <v>583</v>
      </c>
      <c r="I570" s="34" t="s">
        <v>384</v>
      </c>
      <c r="J570" s="34" t="s">
        <v>470</v>
      </c>
      <c r="K570" s="34" t="s">
        <v>489</v>
      </c>
      <c r="L570" s="34">
        <v>21294</v>
      </c>
    </row>
    <row r="571" spans="1:12" x14ac:dyDescent="0.3">
      <c r="A571" s="34" t="s">
        <v>2170</v>
      </c>
      <c r="B571" s="34" t="s">
        <v>478</v>
      </c>
      <c r="C571" s="34">
        <v>8</v>
      </c>
      <c r="D571" s="34">
        <v>18029</v>
      </c>
      <c r="E571" s="15" t="s">
        <v>1885</v>
      </c>
      <c r="F571" s="34" t="s">
        <v>2171</v>
      </c>
      <c r="G571" s="34" t="s">
        <v>1182</v>
      </c>
      <c r="H571" s="34" t="s">
        <v>682</v>
      </c>
      <c r="I571" s="34" t="s">
        <v>384</v>
      </c>
      <c r="J571" s="34" t="s">
        <v>444</v>
      </c>
      <c r="K571" s="34" t="s">
        <v>178</v>
      </c>
      <c r="L571" s="34">
        <v>144232</v>
      </c>
    </row>
    <row r="572" spans="1:12" x14ac:dyDescent="0.3">
      <c r="A572" s="34" t="s">
        <v>2172</v>
      </c>
      <c r="B572" s="34" t="s">
        <v>478</v>
      </c>
      <c r="C572" s="34">
        <v>9</v>
      </c>
      <c r="D572" s="34">
        <v>11842</v>
      </c>
      <c r="E572" s="15" t="s">
        <v>1079</v>
      </c>
      <c r="F572" s="34" t="s">
        <v>2173</v>
      </c>
      <c r="G572" s="34" t="s">
        <v>2124</v>
      </c>
      <c r="H572" s="34" t="s">
        <v>504</v>
      </c>
      <c r="I572" s="34" t="s">
        <v>384</v>
      </c>
      <c r="J572" s="34" t="s">
        <v>470</v>
      </c>
      <c r="K572" s="34" t="s">
        <v>489</v>
      </c>
      <c r="L572" s="34">
        <v>106578</v>
      </c>
    </row>
    <row r="573" spans="1:12" x14ac:dyDescent="0.3">
      <c r="A573" s="34" t="s">
        <v>2174</v>
      </c>
      <c r="B573" s="34" t="s">
        <v>524</v>
      </c>
      <c r="C573" s="34">
        <v>1</v>
      </c>
      <c r="D573" s="34">
        <v>19134</v>
      </c>
      <c r="E573" s="15" t="s">
        <v>1819</v>
      </c>
      <c r="F573" s="34" t="s">
        <v>1232</v>
      </c>
      <c r="G573" s="34" t="s">
        <v>547</v>
      </c>
      <c r="H573" s="34" t="s">
        <v>583</v>
      </c>
      <c r="I573" s="34" t="s">
        <v>384</v>
      </c>
      <c r="J573" s="34" t="s">
        <v>457</v>
      </c>
      <c r="K573" s="34" t="s">
        <v>533</v>
      </c>
      <c r="L573" s="34">
        <v>19134</v>
      </c>
    </row>
    <row r="574" spans="1:12" x14ac:dyDescent="0.3">
      <c r="A574" s="34" t="s">
        <v>2175</v>
      </c>
      <c r="B574" s="34" t="s">
        <v>465</v>
      </c>
      <c r="C574" s="34">
        <v>8</v>
      </c>
      <c r="D574" s="34">
        <v>2819</v>
      </c>
      <c r="E574" s="15" t="s">
        <v>592</v>
      </c>
      <c r="F574" s="34" t="s">
        <v>2176</v>
      </c>
      <c r="G574" s="34" t="s">
        <v>2177</v>
      </c>
      <c r="H574" s="34" t="s">
        <v>682</v>
      </c>
      <c r="I574" s="34" t="s">
        <v>384</v>
      </c>
      <c r="J574" s="34" t="s">
        <v>444</v>
      </c>
      <c r="K574" s="34" t="s">
        <v>533</v>
      </c>
      <c r="L574" s="34">
        <v>22552</v>
      </c>
    </row>
    <row r="575" spans="1:12" x14ac:dyDescent="0.3">
      <c r="A575" s="34" t="s">
        <v>2178</v>
      </c>
      <c r="B575" s="34" t="s">
        <v>447</v>
      </c>
      <c r="C575" s="34">
        <v>6</v>
      </c>
      <c r="D575" s="34">
        <v>9200</v>
      </c>
      <c r="E575" s="15" t="s">
        <v>2179</v>
      </c>
      <c r="F575" s="34" t="s">
        <v>2180</v>
      </c>
      <c r="G575" s="34" t="s">
        <v>1186</v>
      </c>
      <c r="H575" s="34" t="s">
        <v>518</v>
      </c>
      <c r="I575" s="34" t="s">
        <v>384</v>
      </c>
      <c r="J575" s="34" t="s">
        <v>470</v>
      </c>
      <c r="K575" s="34" t="s">
        <v>178</v>
      </c>
      <c r="L575" s="34">
        <v>55200</v>
      </c>
    </row>
    <row r="576" spans="1:12" x14ac:dyDescent="0.3">
      <c r="A576" s="34" t="s">
        <v>2181</v>
      </c>
      <c r="B576" s="34" t="s">
        <v>484</v>
      </c>
      <c r="C576" s="34">
        <v>7</v>
      </c>
      <c r="D576" s="34">
        <v>6870</v>
      </c>
      <c r="E576" s="15" t="s">
        <v>496</v>
      </c>
      <c r="F576" s="34" t="s">
        <v>2182</v>
      </c>
      <c r="G576" s="34" t="s">
        <v>622</v>
      </c>
      <c r="H576" s="34" t="s">
        <v>694</v>
      </c>
      <c r="I576" s="34" t="s">
        <v>384</v>
      </c>
      <c r="J576" s="34" t="s">
        <v>457</v>
      </c>
      <c r="K576" s="34" t="s">
        <v>533</v>
      </c>
      <c r="L576" s="34">
        <v>48090</v>
      </c>
    </row>
    <row r="577" spans="1:12" x14ac:dyDescent="0.3">
      <c r="A577" s="34" t="s">
        <v>2183</v>
      </c>
      <c r="B577" s="34" t="s">
        <v>524</v>
      </c>
      <c r="C577" s="34">
        <v>9</v>
      </c>
      <c r="D577" s="34">
        <v>3099</v>
      </c>
      <c r="E577" s="15" t="s">
        <v>1241</v>
      </c>
      <c r="F577" s="34" t="s">
        <v>2184</v>
      </c>
      <c r="G577" s="34" t="s">
        <v>626</v>
      </c>
      <c r="H577" s="34" t="s">
        <v>463</v>
      </c>
      <c r="I577" s="34" t="s">
        <v>384</v>
      </c>
      <c r="J577" s="34" t="s">
        <v>457</v>
      </c>
      <c r="K577" s="34" t="s">
        <v>533</v>
      </c>
      <c r="L577" s="34">
        <v>27891</v>
      </c>
    </row>
    <row r="578" spans="1:12" x14ac:dyDescent="0.3">
      <c r="A578" s="34" t="s">
        <v>2185</v>
      </c>
      <c r="B578" s="34" t="s">
        <v>459</v>
      </c>
      <c r="C578" s="34">
        <v>8</v>
      </c>
      <c r="D578" s="34">
        <v>4556</v>
      </c>
      <c r="E578" s="15" t="s">
        <v>2186</v>
      </c>
      <c r="F578" s="34" t="s">
        <v>2187</v>
      </c>
      <c r="G578" s="34" t="s">
        <v>1350</v>
      </c>
      <c r="H578" s="34" t="s">
        <v>543</v>
      </c>
      <c r="I578" s="34" t="s">
        <v>384</v>
      </c>
      <c r="J578" s="34" t="s">
        <v>444</v>
      </c>
      <c r="K578" s="34" t="s">
        <v>489</v>
      </c>
      <c r="L578" s="34">
        <v>36448</v>
      </c>
    </row>
    <row r="579" spans="1:12" x14ac:dyDescent="0.3">
      <c r="A579" s="34" t="s">
        <v>2188</v>
      </c>
      <c r="B579" s="34" t="s">
        <v>510</v>
      </c>
      <c r="C579" s="34">
        <v>6</v>
      </c>
      <c r="D579" s="34">
        <v>7830</v>
      </c>
      <c r="E579" s="15" t="s">
        <v>592</v>
      </c>
      <c r="F579" s="34" t="s">
        <v>2189</v>
      </c>
      <c r="G579" s="34" t="s">
        <v>2190</v>
      </c>
      <c r="H579" s="34" t="s">
        <v>528</v>
      </c>
      <c r="I579" s="34" t="s">
        <v>384</v>
      </c>
      <c r="J579" s="34" t="s">
        <v>457</v>
      </c>
      <c r="K579" s="34" t="s">
        <v>489</v>
      </c>
      <c r="L579" s="34">
        <v>46980</v>
      </c>
    </row>
    <row r="580" spans="1:12" x14ac:dyDescent="0.3">
      <c r="A580" s="34" t="s">
        <v>2191</v>
      </c>
      <c r="B580" s="34" t="s">
        <v>495</v>
      </c>
      <c r="C580" s="34">
        <v>2</v>
      </c>
      <c r="D580" s="34">
        <v>13048</v>
      </c>
      <c r="E580" s="15" t="s">
        <v>2192</v>
      </c>
      <c r="F580" s="34" t="s">
        <v>2193</v>
      </c>
      <c r="G580" s="34" t="s">
        <v>1114</v>
      </c>
      <c r="H580" s="34" t="s">
        <v>639</v>
      </c>
      <c r="I580" s="34" t="s">
        <v>384</v>
      </c>
      <c r="J580" s="34" t="s">
        <v>470</v>
      </c>
      <c r="K580" s="34" t="s">
        <v>533</v>
      </c>
      <c r="L580" s="34">
        <v>26096</v>
      </c>
    </row>
    <row r="581" spans="1:12" x14ac:dyDescent="0.3">
      <c r="A581" s="34" t="s">
        <v>2194</v>
      </c>
      <c r="B581" s="34" t="s">
        <v>447</v>
      </c>
      <c r="C581" s="34">
        <v>1</v>
      </c>
      <c r="D581" s="34">
        <v>15196</v>
      </c>
      <c r="E581" s="15" t="s">
        <v>2186</v>
      </c>
      <c r="F581" s="34" t="s">
        <v>2195</v>
      </c>
      <c r="G581" s="34" t="s">
        <v>1496</v>
      </c>
      <c r="H581" s="34" t="s">
        <v>578</v>
      </c>
      <c r="I581" s="34" t="s">
        <v>384</v>
      </c>
      <c r="J581" s="34" t="s">
        <v>444</v>
      </c>
      <c r="K581" s="34" t="s">
        <v>489</v>
      </c>
      <c r="L581" s="34">
        <v>15196</v>
      </c>
    </row>
    <row r="582" spans="1:12" x14ac:dyDescent="0.3">
      <c r="A582" s="34" t="s">
        <v>2196</v>
      </c>
      <c r="B582" s="34" t="s">
        <v>510</v>
      </c>
      <c r="C582" s="34">
        <v>1</v>
      </c>
      <c r="D582" s="34">
        <v>3477</v>
      </c>
      <c r="E582" s="15" t="s">
        <v>545</v>
      </c>
      <c r="F582" s="34" t="s">
        <v>2197</v>
      </c>
      <c r="G582" s="34" t="s">
        <v>569</v>
      </c>
      <c r="H582" s="34" t="s">
        <v>595</v>
      </c>
      <c r="I582" s="34" t="s">
        <v>384</v>
      </c>
      <c r="J582" s="34" t="s">
        <v>457</v>
      </c>
      <c r="K582" s="34" t="s">
        <v>471</v>
      </c>
      <c r="L582" s="34">
        <v>3477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7E5D-CF30-4E2D-A3FF-A4C0E1D9DA28}">
  <dimension ref="A1:J44"/>
  <sheetViews>
    <sheetView zoomScaleNormal="100" workbookViewId="0">
      <selection activeCell="F30" sqref="F30"/>
    </sheetView>
  </sheetViews>
  <sheetFormatPr defaultRowHeight="14.4" x14ac:dyDescent="0.3"/>
  <cols>
    <col min="1" max="1" width="12.33203125" customWidth="1"/>
    <col min="2" max="2" width="9" customWidth="1"/>
    <col min="3" max="3" width="10.88671875" customWidth="1"/>
    <col min="4" max="4" width="11.33203125" customWidth="1"/>
    <col min="5" max="5" width="12.6640625" bestFit="1" customWidth="1"/>
    <col min="6" max="6" width="7.44140625" customWidth="1"/>
    <col min="7" max="7" width="12.109375" customWidth="1"/>
    <col min="8" max="8" width="11.109375" customWidth="1"/>
    <col min="9" max="9" width="15.6640625" customWidth="1"/>
  </cols>
  <sheetData>
    <row r="1" spans="1:10" x14ac:dyDescent="0.3">
      <c r="A1" s="4" t="s">
        <v>143</v>
      </c>
      <c r="B1" s="4" t="s">
        <v>144</v>
      </c>
      <c r="C1" s="4" t="s">
        <v>145</v>
      </c>
      <c r="D1" s="4" t="s">
        <v>146</v>
      </c>
      <c r="E1" s="4" t="s">
        <v>147</v>
      </c>
      <c r="F1" s="4" t="s">
        <v>148</v>
      </c>
      <c r="G1" s="4" t="s">
        <v>149</v>
      </c>
      <c r="H1" s="4" t="s">
        <v>150</v>
      </c>
      <c r="I1" s="4" t="s">
        <v>151</v>
      </c>
      <c r="J1" s="5"/>
    </row>
    <row r="2" spans="1:10" x14ac:dyDescent="0.3">
      <c r="A2" s="15">
        <v>43344</v>
      </c>
      <c r="B2" t="s">
        <v>152</v>
      </c>
      <c r="C2" t="s">
        <v>169</v>
      </c>
      <c r="D2" t="s">
        <v>175</v>
      </c>
      <c r="E2" t="s">
        <v>172</v>
      </c>
      <c r="F2">
        <v>2</v>
      </c>
      <c r="G2">
        <v>125</v>
      </c>
      <c r="H2">
        <v>3200</v>
      </c>
      <c r="I2" t="s">
        <v>177</v>
      </c>
    </row>
    <row r="3" spans="1:10" x14ac:dyDescent="0.3">
      <c r="A3" s="15">
        <v>43701</v>
      </c>
      <c r="B3" t="s">
        <v>168</v>
      </c>
      <c r="C3" t="s">
        <v>159</v>
      </c>
      <c r="D3" t="s">
        <v>171</v>
      </c>
      <c r="E3" t="s">
        <v>172</v>
      </c>
      <c r="F3">
        <v>3</v>
      </c>
      <c r="G3">
        <v>125</v>
      </c>
      <c r="H3">
        <v>375</v>
      </c>
      <c r="I3" s="11" t="s">
        <v>156</v>
      </c>
    </row>
    <row r="4" spans="1:10" x14ac:dyDescent="0.3">
      <c r="A4" s="15">
        <v>43633</v>
      </c>
      <c r="B4" t="s">
        <v>257</v>
      </c>
      <c r="C4" t="s">
        <v>153</v>
      </c>
      <c r="D4" t="s">
        <v>154</v>
      </c>
      <c r="E4" t="s">
        <v>172</v>
      </c>
      <c r="F4">
        <v>5</v>
      </c>
      <c r="G4">
        <v>125</v>
      </c>
      <c r="H4">
        <v>625</v>
      </c>
      <c r="I4" t="s">
        <v>173</v>
      </c>
    </row>
    <row r="5" spans="1:10" x14ac:dyDescent="0.3">
      <c r="A5" s="15">
        <v>43361</v>
      </c>
      <c r="B5" t="s">
        <v>162</v>
      </c>
      <c r="C5" t="s">
        <v>163</v>
      </c>
      <c r="D5" t="s">
        <v>164</v>
      </c>
      <c r="E5" t="s">
        <v>167</v>
      </c>
      <c r="F5">
        <v>16</v>
      </c>
      <c r="G5">
        <v>58.5</v>
      </c>
      <c r="H5">
        <v>936</v>
      </c>
      <c r="I5" t="s">
        <v>178</v>
      </c>
    </row>
    <row r="6" spans="1:10" x14ac:dyDescent="0.3">
      <c r="A6" s="15">
        <v>43514</v>
      </c>
      <c r="B6" t="s">
        <v>162</v>
      </c>
      <c r="C6" t="s">
        <v>163</v>
      </c>
      <c r="D6" t="s">
        <v>164</v>
      </c>
      <c r="E6" t="s">
        <v>155</v>
      </c>
      <c r="F6">
        <v>4</v>
      </c>
      <c r="G6">
        <v>500</v>
      </c>
      <c r="H6">
        <v>2000</v>
      </c>
      <c r="I6" s="11" t="s">
        <v>156</v>
      </c>
    </row>
    <row r="7" spans="1:10" x14ac:dyDescent="0.3">
      <c r="A7" s="15">
        <v>43684</v>
      </c>
      <c r="B7" t="s">
        <v>152</v>
      </c>
      <c r="C7" t="s">
        <v>153</v>
      </c>
      <c r="D7" t="s">
        <v>154</v>
      </c>
      <c r="E7" t="s">
        <v>167</v>
      </c>
      <c r="F7">
        <v>42</v>
      </c>
      <c r="G7">
        <v>58.5</v>
      </c>
      <c r="H7">
        <v>2457</v>
      </c>
      <c r="I7" t="s">
        <v>177</v>
      </c>
    </row>
    <row r="8" spans="1:10" x14ac:dyDescent="0.3">
      <c r="A8" s="15">
        <v>43548</v>
      </c>
      <c r="B8" t="s">
        <v>152</v>
      </c>
      <c r="C8" t="s">
        <v>153</v>
      </c>
      <c r="D8" t="s">
        <v>161</v>
      </c>
      <c r="E8" t="s">
        <v>167</v>
      </c>
      <c r="F8">
        <v>50</v>
      </c>
      <c r="G8">
        <v>58.5</v>
      </c>
      <c r="H8">
        <v>2925</v>
      </c>
      <c r="I8" t="s">
        <v>177</v>
      </c>
    </row>
    <row r="9" spans="1:10" x14ac:dyDescent="0.3">
      <c r="A9" s="15">
        <v>43667</v>
      </c>
      <c r="B9" t="s">
        <v>257</v>
      </c>
      <c r="C9" t="s">
        <v>153</v>
      </c>
      <c r="D9" t="s">
        <v>157</v>
      </c>
      <c r="E9" t="s">
        <v>167</v>
      </c>
      <c r="F9">
        <v>55</v>
      </c>
      <c r="G9">
        <v>58.5</v>
      </c>
      <c r="H9">
        <v>3217.5</v>
      </c>
      <c r="I9" t="s">
        <v>173</v>
      </c>
    </row>
    <row r="10" spans="1:10" x14ac:dyDescent="0.3">
      <c r="A10" s="15">
        <v>43412</v>
      </c>
      <c r="B10" t="s">
        <v>162</v>
      </c>
      <c r="C10" t="s">
        <v>169</v>
      </c>
      <c r="D10" t="s">
        <v>176</v>
      </c>
      <c r="E10" t="s">
        <v>166</v>
      </c>
      <c r="F10">
        <v>15</v>
      </c>
      <c r="G10">
        <v>225</v>
      </c>
      <c r="H10">
        <v>3375</v>
      </c>
      <c r="I10" t="s">
        <v>173</v>
      </c>
    </row>
    <row r="11" spans="1:10" x14ac:dyDescent="0.3">
      <c r="A11" s="15">
        <v>43531</v>
      </c>
      <c r="B11" t="s">
        <v>168</v>
      </c>
      <c r="C11" t="s">
        <v>159</v>
      </c>
      <c r="D11" t="s">
        <v>171</v>
      </c>
      <c r="E11" t="s">
        <v>155</v>
      </c>
      <c r="F11">
        <v>7</v>
      </c>
      <c r="G11">
        <v>500</v>
      </c>
      <c r="H11">
        <v>3500</v>
      </c>
      <c r="I11" t="s">
        <v>173</v>
      </c>
    </row>
    <row r="12" spans="1:10" x14ac:dyDescent="0.3">
      <c r="A12" s="15">
        <v>43650</v>
      </c>
      <c r="B12" t="s">
        <v>162</v>
      </c>
      <c r="C12" t="s">
        <v>163</v>
      </c>
      <c r="D12" t="s">
        <v>164</v>
      </c>
      <c r="E12" t="s">
        <v>167</v>
      </c>
      <c r="F12">
        <v>62</v>
      </c>
      <c r="G12">
        <v>58.5</v>
      </c>
      <c r="H12">
        <v>3627</v>
      </c>
      <c r="I12" s="11" t="s">
        <v>156</v>
      </c>
    </row>
    <row r="13" spans="1:10" x14ac:dyDescent="0.3">
      <c r="A13" s="15">
        <v>43463</v>
      </c>
      <c r="B13" t="s">
        <v>162</v>
      </c>
      <c r="C13" t="s">
        <v>169</v>
      </c>
      <c r="D13" t="s">
        <v>176</v>
      </c>
      <c r="E13" t="s">
        <v>167</v>
      </c>
      <c r="F13">
        <v>74</v>
      </c>
      <c r="G13">
        <v>58.5</v>
      </c>
      <c r="H13">
        <v>4329</v>
      </c>
      <c r="I13" t="s">
        <v>173</v>
      </c>
    </row>
    <row r="14" spans="1:10" x14ac:dyDescent="0.3">
      <c r="A14" s="15">
        <v>43786</v>
      </c>
      <c r="B14" t="s">
        <v>257</v>
      </c>
      <c r="C14" t="s">
        <v>153</v>
      </c>
      <c r="D14" t="s">
        <v>161</v>
      </c>
      <c r="E14" t="s">
        <v>155</v>
      </c>
      <c r="F14">
        <v>11</v>
      </c>
      <c r="G14">
        <v>500</v>
      </c>
      <c r="H14">
        <v>5500</v>
      </c>
      <c r="I14" t="s">
        <v>173</v>
      </c>
    </row>
    <row r="15" spans="1:10" x14ac:dyDescent="0.3">
      <c r="A15" s="15">
        <v>43429</v>
      </c>
      <c r="B15" t="s">
        <v>152</v>
      </c>
      <c r="C15" t="s">
        <v>153</v>
      </c>
      <c r="D15" t="s">
        <v>154</v>
      </c>
      <c r="E15" t="s">
        <v>167</v>
      </c>
      <c r="F15">
        <v>96</v>
      </c>
      <c r="G15">
        <v>58.5</v>
      </c>
      <c r="H15">
        <v>5616</v>
      </c>
      <c r="I15" t="s">
        <v>177</v>
      </c>
    </row>
    <row r="16" spans="1:10" x14ac:dyDescent="0.3">
      <c r="A16" s="15">
        <v>43157</v>
      </c>
      <c r="B16" t="s">
        <v>152</v>
      </c>
      <c r="C16" t="s">
        <v>159</v>
      </c>
      <c r="D16" t="s">
        <v>160</v>
      </c>
      <c r="E16" t="s">
        <v>166</v>
      </c>
      <c r="F16">
        <v>27</v>
      </c>
      <c r="G16">
        <v>225</v>
      </c>
      <c r="H16">
        <v>6075</v>
      </c>
      <c r="I16" t="s">
        <v>177</v>
      </c>
    </row>
    <row r="17" spans="1:9" x14ac:dyDescent="0.3">
      <c r="A17" s="15">
        <v>43718</v>
      </c>
      <c r="B17" t="s">
        <v>257</v>
      </c>
      <c r="C17" t="s">
        <v>159</v>
      </c>
      <c r="D17" t="s">
        <v>160</v>
      </c>
      <c r="E17" t="s">
        <v>158</v>
      </c>
      <c r="F17">
        <v>7</v>
      </c>
      <c r="G17">
        <v>1198</v>
      </c>
      <c r="H17">
        <v>8386</v>
      </c>
      <c r="I17" t="s">
        <v>173</v>
      </c>
    </row>
    <row r="18" spans="1:9" x14ac:dyDescent="0.3">
      <c r="A18" s="15">
        <v>43378</v>
      </c>
      <c r="B18" t="s">
        <v>152</v>
      </c>
      <c r="C18" t="s">
        <v>153</v>
      </c>
      <c r="D18" t="s">
        <v>157</v>
      </c>
      <c r="E18" t="s">
        <v>155</v>
      </c>
      <c r="F18">
        <v>28</v>
      </c>
      <c r="G18">
        <v>500</v>
      </c>
      <c r="H18">
        <v>14000</v>
      </c>
      <c r="I18" s="11" t="s">
        <v>156</v>
      </c>
    </row>
    <row r="19" spans="1:9" x14ac:dyDescent="0.3">
      <c r="A19" s="15">
        <v>43820</v>
      </c>
      <c r="B19" t="s">
        <v>257</v>
      </c>
      <c r="C19" t="s">
        <v>163</v>
      </c>
      <c r="D19" t="s">
        <v>174</v>
      </c>
      <c r="E19" t="s">
        <v>155</v>
      </c>
      <c r="F19">
        <v>28</v>
      </c>
      <c r="G19">
        <v>500</v>
      </c>
      <c r="H19">
        <v>14000</v>
      </c>
      <c r="I19" t="s">
        <v>173</v>
      </c>
    </row>
    <row r="20" spans="1:9" x14ac:dyDescent="0.3">
      <c r="A20" s="15">
        <v>43395</v>
      </c>
      <c r="B20" t="s">
        <v>162</v>
      </c>
      <c r="C20" t="s">
        <v>163</v>
      </c>
      <c r="D20" t="s">
        <v>164</v>
      </c>
      <c r="E20" t="s">
        <v>166</v>
      </c>
      <c r="F20">
        <v>64</v>
      </c>
      <c r="G20">
        <v>225</v>
      </c>
      <c r="H20">
        <v>14400</v>
      </c>
      <c r="I20" t="s">
        <v>177</v>
      </c>
    </row>
    <row r="21" spans="1:9" x14ac:dyDescent="0.3">
      <c r="A21" s="15">
        <v>43293</v>
      </c>
      <c r="B21" t="s">
        <v>162</v>
      </c>
      <c r="C21" t="s">
        <v>163</v>
      </c>
      <c r="D21" t="s">
        <v>165</v>
      </c>
      <c r="E21" t="s">
        <v>155</v>
      </c>
      <c r="F21">
        <v>29</v>
      </c>
      <c r="G21">
        <v>500</v>
      </c>
      <c r="H21">
        <v>14500</v>
      </c>
      <c r="I21" t="s">
        <v>173</v>
      </c>
    </row>
    <row r="22" spans="1:9" x14ac:dyDescent="0.3">
      <c r="A22" s="15">
        <v>43769</v>
      </c>
      <c r="B22" t="s">
        <v>257</v>
      </c>
      <c r="C22" t="s">
        <v>163</v>
      </c>
      <c r="D22" t="s">
        <v>174</v>
      </c>
      <c r="E22" t="s">
        <v>158</v>
      </c>
      <c r="F22">
        <v>14</v>
      </c>
      <c r="G22">
        <v>1198</v>
      </c>
      <c r="H22">
        <v>16772</v>
      </c>
      <c r="I22" t="s">
        <v>173</v>
      </c>
    </row>
    <row r="23" spans="1:9" x14ac:dyDescent="0.3">
      <c r="A23" s="15">
        <v>43735</v>
      </c>
      <c r="B23" t="s">
        <v>168</v>
      </c>
      <c r="C23" t="s">
        <v>159</v>
      </c>
      <c r="D23" t="s">
        <v>171</v>
      </c>
      <c r="E23" t="s">
        <v>166</v>
      </c>
      <c r="F23">
        <v>76</v>
      </c>
      <c r="G23">
        <v>225</v>
      </c>
      <c r="H23">
        <v>17100</v>
      </c>
      <c r="I23" t="s">
        <v>177</v>
      </c>
    </row>
    <row r="24" spans="1:9" x14ac:dyDescent="0.3">
      <c r="A24" s="15">
        <v>43582</v>
      </c>
      <c r="B24" t="s">
        <v>162</v>
      </c>
      <c r="C24" t="s">
        <v>163</v>
      </c>
      <c r="D24" t="s">
        <v>165</v>
      </c>
      <c r="E24" t="s">
        <v>166</v>
      </c>
      <c r="F24">
        <v>96</v>
      </c>
      <c r="G24">
        <v>225</v>
      </c>
      <c r="H24">
        <v>21600</v>
      </c>
      <c r="I24" s="11" t="s">
        <v>156</v>
      </c>
    </row>
    <row r="25" spans="1:9" x14ac:dyDescent="0.3">
      <c r="A25" s="15">
        <v>43480</v>
      </c>
      <c r="B25" t="s">
        <v>152</v>
      </c>
      <c r="C25" t="s">
        <v>159</v>
      </c>
      <c r="D25" t="s">
        <v>160</v>
      </c>
      <c r="E25" t="s">
        <v>155</v>
      </c>
      <c r="F25">
        <v>46</v>
      </c>
      <c r="G25">
        <v>500</v>
      </c>
      <c r="H25">
        <v>23000</v>
      </c>
      <c r="I25" t="s">
        <v>177</v>
      </c>
    </row>
    <row r="26" spans="1:9" x14ac:dyDescent="0.3">
      <c r="A26" s="15">
        <v>43123</v>
      </c>
      <c r="B26" t="s">
        <v>152</v>
      </c>
      <c r="C26" t="s">
        <v>153</v>
      </c>
      <c r="D26" t="s">
        <v>154</v>
      </c>
      <c r="E26" t="s">
        <v>155</v>
      </c>
      <c r="F26">
        <v>50</v>
      </c>
      <c r="G26">
        <v>500</v>
      </c>
      <c r="H26">
        <v>25000</v>
      </c>
      <c r="I26" s="11" t="s">
        <v>156</v>
      </c>
    </row>
    <row r="27" spans="1:9" x14ac:dyDescent="0.3">
      <c r="A27" s="15">
        <v>43752</v>
      </c>
      <c r="B27" t="s">
        <v>168</v>
      </c>
      <c r="C27" t="s">
        <v>169</v>
      </c>
      <c r="D27" t="s">
        <v>170</v>
      </c>
      <c r="E27" t="s">
        <v>155</v>
      </c>
      <c r="F27">
        <v>57</v>
      </c>
      <c r="G27">
        <v>500</v>
      </c>
      <c r="H27">
        <v>28500</v>
      </c>
      <c r="I27" s="11" t="s">
        <v>156</v>
      </c>
    </row>
    <row r="28" spans="1:9" x14ac:dyDescent="0.3">
      <c r="A28" s="15">
        <v>43191</v>
      </c>
      <c r="B28" t="s">
        <v>162</v>
      </c>
      <c r="C28" t="s">
        <v>163</v>
      </c>
      <c r="D28" t="s">
        <v>164</v>
      </c>
      <c r="E28" t="s">
        <v>155</v>
      </c>
      <c r="F28">
        <v>60</v>
      </c>
      <c r="G28">
        <v>500</v>
      </c>
      <c r="H28">
        <v>30000</v>
      </c>
      <c r="I28" s="11" t="s">
        <v>156</v>
      </c>
    </row>
    <row r="29" spans="1:9" x14ac:dyDescent="0.3">
      <c r="A29" s="15">
        <v>43259</v>
      </c>
      <c r="B29" t="s">
        <v>162</v>
      </c>
      <c r="C29" t="s">
        <v>163</v>
      </c>
      <c r="D29" t="s">
        <v>164</v>
      </c>
      <c r="E29" t="s">
        <v>155</v>
      </c>
      <c r="F29">
        <v>60</v>
      </c>
      <c r="G29">
        <v>500</v>
      </c>
      <c r="H29">
        <v>30000</v>
      </c>
      <c r="I29" t="s">
        <v>178</v>
      </c>
    </row>
    <row r="30" spans="1:9" x14ac:dyDescent="0.3">
      <c r="A30" s="15">
        <v>43242</v>
      </c>
      <c r="B30" t="s">
        <v>168</v>
      </c>
      <c r="C30" t="s">
        <v>169</v>
      </c>
      <c r="D30" t="s">
        <v>170</v>
      </c>
      <c r="E30" t="s">
        <v>158</v>
      </c>
      <c r="F30">
        <v>32</v>
      </c>
      <c r="G30">
        <v>1198</v>
      </c>
      <c r="H30">
        <v>38336</v>
      </c>
      <c r="I30" s="11" t="s">
        <v>156</v>
      </c>
    </row>
    <row r="31" spans="1:9" x14ac:dyDescent="0.3">
      <c r="A31" s="15">
        <v>43616</v>
      </c>
      <c r="B31" t="s">
        <v>152</v>
      </c>
      <c r="C31" t="s">
        <v>159</v>
      </c>
      <c r="D31" t="s">
        <v>160</v>
      </c>
      <c r="E31" t="s">
        <v>155</v>
      </c>
      <c r="F31">
        <v>80</v>
      </c>
      <c r="G31">
        <v>500</v>
      </c>
      <c r="H31">
        <v>40000</v>
      </c>
      <c r="I31" s="11" t="s">
        <v>156</v>
      </c>
    </row>
    <row r="32" spans="1:9" x14ac:dyDescent="0.3">
      <c r="A32" s="15">
        <v>43310</v>
      </c>
      <c r="B32" t="s">
        <v>162</v>
      </c>
      <c r="C32" t="s">
        <v>169</v>
      </c>
      <c r="D32" t="s">
        <v>176</v>
      </c>
      <c r="E32" t="s">
        <v>155</v>
      </c>
      <c r="F32">
        <v>81</v>
      </c>
      <c r="G32">
        <v>500</v>
      </c>
      <c r="H32">
        <v>40500</v>
      </c>
      <c r="I32" t="s">
        <v>177</v>
      </c>
    </row>
    <row r="33" spans="1:9" x14ac:dyDescent="0.3">
      <c r="A33" s="15">
        <v>43327</v>
      </c>
      <c r="B33" t="s">
        <v>162</v>
      </c>
      <c r="C33" t="s">
        <v>163</v>
      </c>
      <c r="D33" t="s">
        <v>164</v>
      </c>
      <c r="E33" t="s">
        <v>158</v>
      </c>
      <c r="F33">
        <v>35</v>
      </c>
      <c r="G33">
        <v>1198</v>
      </c>
      <c r="H33">
        <v>41930</v>
      </c>
      <c r="I33" t="s">
        <v>173</v>
      </c>
    </row>
    <row r="34" spans="1:9" x14ac:dyDescent="0.3">
      <c r="A34" s="15">
        <v>43140</v>
      </c>
      <c r="B34" t="s">
        <v>257</v>
      </c>
      <c r="C34" t="s">
        <v>153</v>
      </c>
      <c r="D34" t="s">
        <v>161</v>
      </c>
      <c r="E34" t="s">
        <v>158</v>
      </c>
      <c r="F34">
        <v>36</v>
      </c>
      <c r="G34">
        <v>1198</v>
      </c>
      <c r="H34">
        <v>43128</v>
      </c>
      <c r="I34" t="s">
        <v>173</v>
      </c>
    </row>
    <row r="35" spans="1:9" x14ac:dyDescent="0.3">
      <c r="A35" s="15">
        <v>43497</v>
      </c>
      <c r="B35" t="s">
        <v>152</v>
      </c>
      <c r="C35" t="s">
        <v>169</v>
      </c>
      <c r="D35" t="s">
        <v>175</v>
      </c>
      <c r="E35" t="s">
        <v>155</v>
      </c>
      <c r="F35">
        <v>87</v>
      </c>
      <c r="G35">
        <v>500</v>
      </c>
      <c r="H35">
        <v>43500</v>
      </c>
      <c r="I35" t="s">
        <v>178</v>
      </c>
    </row>
    <row r="36" spans="1:9" x14ac:dyDescent="0.3">
      <c r="A36" s="15">
        <v>43803</v>
      </c>
      <c r="B36" t="s">
        <v>152</v>
      </c>
      <c r="C36" t="s">
        <v>153</v>
      </c>
      <c r="D36" t="s">
        <v>161</v>
      </c>
      <c r="E36" t="s">
        <v>155</v>
      </c>
      <c r="F36">
        <v>94</v>
      </c>
      <c r="G36">
        <v>500</v>
      </c>
      <c r="H36">
        <v>47000</v>
      </c>
      <c r="I36" s="11" t="s">
        <v>156</v>
      </c>
    </row>
    <row r="37" spans="1:9" x14ac:dyDescent="0.3">
      <c r="A37" s="15">
        <v>43599</v>
      </c>
      <c r="B37" t="s">
        <v>152</v>
      </c>
      <c r="C37" t="s">
        <v>159</v>
      </c>
      <c r="D37" t="s">
        <v>160</v>
      </c>
      <c r="E37" t="s">
        <v>158</v>
      </c>
      <c r="F37">
        <v>53</v>
      </c>
      <c r="G37">
        <v>1198</v>
      </c>
      <c r="H37">
        <v>63494</v>
      </c>
      <c r="I37" t="s">
        <v>178</v>
      </c>
    </row>
    <row r="38" spans="1:9" x14ac:dyDescent="0.3">
      <c r="A38" s="15">
        <v>43174</v>
      </c>
      <c r="B38" t="s">
        <v>168</v>
      </c>
      <c r="C38" t="s">
        <v>159</v>
      </c>
      <c r="D38" t="s">
        <v>171</v>
      </c>
      <c r="E38" t="s">
        <v>158</v>
      </c>
      <c r="F38">
        <v>56</v>
      </c>
      <c r="G38">
        <v>1198</v>
      </c>
      <c r="H38">
        <v>67088</v>
      </c>
      <c r="I38" t="s">
        <v>178</v>
      </c>
    </row>
    <row r="39" spans="1:9" x14ac:dyDescent="0.3">
      <c r="A39" s="15">
        <v>43565</v>
      </c>
      <c r="B39" t="s">
        <v>257</v>
      </c>
      <c r="C39" t="s">
        <v>163</v>
      </c>
      <c r="D39" t="s">
        <v>174</v>
      </c>
      <c r="E39" t="s">
        <v>158</v>
      </c>
      <c r="F39">
        <v>66</v>
      </c>
      <c r="G39">
        <v>1198</v>
      </c>
      <c r="H39">
        <v>79068</v>
      </c>
      <c r="I39" t="s">
        <v>173</v>
      </c>
    </row>
    <row r="40" spans="1:9" x14ac:dyDescent="0.3">
      <c r="A40" s="15">
        <v>43446</v>
      </c>
      <c r="B40" t="s">
        <v>257</v>
      </c>
      <c r="C40" t="s">
        <v>169</v>
      </c>
      <c r="D40" t="s">
        <v>175</v>
      </c>
      <c r="E40" t="s">
        <v>158</v>
      </c>
      <c r="F40">
        <v>67</v>
      </c>
      <c r="G40">
        <v>1198</v>
      </c>
      <c r="H40">
        <v>80266</v>
      </c>
      <c r="I40" t="s">
        <v>173</v>
      </c>
    </row>
    <row r="41" spans="1:9" x14ac:dyDescent="0.3">
      <c r="A41" s="15">
        <v>43208</v>
      </c>
      <c r="B41" t="s">
        <v>257</v>
      </c>
      <c r="C41" t="s">
        <v>163</v>
      </c>
      <c r="D41" t="s">
        <v>174</v>
      </c>
      <c r="E41" t="s">
        <v>158</v>
      </c>
      <c r="F41">
        <v>75</v>
      </c>
      <c r="G41">
        <v>1198</v>
      </c>
      <c r="H41">
        <v>89850</v>
      </c>
      <c r="I41" t="s">
        <v>173</v>
      </c>
    </row>
    <row r="42" spans="1:9" x14ac:dyDescent="0.3">
      <c r="A42" s="15">
        <v>43276</v>
      </c>
      <c r="B42" t="s">
        <v>152</v>
      </c>
      <c r="C42" t="s">
        <v>153</v>
      </c>
      <c r="D42" t="s">
        <v>157</v>
      </c>
      <c r="E42" t="s">
        <v>158</v>
      </c>
      <c r="F42">
        <v>90</v>
      </c>
      <c r="G42">
        <v>1198</v>
      </c>
      <c r="H42">
        <v>107820</v>
      </c>
      <c r="I42" s="11" t="s">
        <v>156</v>
      </c>
    </row>
    <row r="43" spans="1:9" x14ac:dyDescent="0.3">
      <c r="A43" s="15">
        <v>43225</v>
      </c>
      <c r="B43" t="s">
        <v>152</v>
      </c>
      <c r="C43" t="s">
        <v>153</v>
      </c>
      <c r="D43" t="s">
        <v>161</v>
      </c>
      <c r="E43" t="s">
        <v>158</v>
      </c>
      <c r="F43">
        <v>90</v>
      </c>
      <c r="G43">
        <v>1198</v>
      </c>
      <c r="H43">
        <v>107820</v>
      </c>
      <c r="I43" t="s">
        <v>178</v>
      </c>
    </row>
    <row r="44" spans="1:9" x14ac:dyDescent="0.3">
      <c r="A44" s="15">
        <v>43106</v>
      </c>
      <c r="B44" t="s">
        <v>162</v>
      </c>
      <c r="C44" t="s">
        <v>163</v>
      </c>
      <c r="D44" t="s">
        <v>164</v>
      </c>
      <c r="E44" t="s">
        <v>158</v>
      </c>
      <c r="F44">
        <v>95</v>
      </c>
      <c r="G44">
        <v>1198</v>
      </c>
      <c r="H44">
        <v>113810</v>
      </c>
      <c r="I44" t="s">
        <v>178</v>
      </c>
    </row>
  </sheetData>
  <conditionalFormatting sqref="A2:I44">
    <cfRule type="containsText" dxfId="0" priority="1" operator="containsText" text="NET BANKING">
      <formula>NOT(ISERROR(SEARCH("NET BANKING",A2)))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9D0BB-289B-405E-9AD6-8924ED83E74C}">
  <dimension ref="A1:S23"/>
  <sheetViews>
    <sheetView topLeftCell="B31" zoomScale="160" zoomScaleNormal="160" workbookViewId="0">
      <selection activeCell="K3" sqref="K3"/>
    </sheetView>
  </sheetViews>
  <sheetFormatPr defaultRowHeight="14.4" x14ac:dyDescent="0.3"/>
  <cols>
    <col min="1" max="2" width="10.21875" bestFit="1" customWidth="1"/>
    <col min="3" max="3" width="5" bestFit="1" customWidth="1"/>
    <col min="4" max="4" width="12.88671875" bestFit="1" customWidth="1"/>
    <col min="5" max="5" width="8.44140625" bestFit="1" customWidth="1"/>
    <col min="6" max="6" width="11.77734375" bestFit="1" customWidth="1"/>
    <col min="7" max="7" width="7.44140625" bestFit="1" customWidth="1"/>
    <col min="8" max="8" width="5.77734375" bestFit="1" customWidth="1"/>
    <col min="9" max="9" width="9.77734375" customWidth="1"/>
    <col min="10" max="10" width="6.33203125" customWidth="1"/>
    <col min="11" max="11" width="8.44140625" bestFit="1" customWidth="1"/>
    <col min="16" max="16" width="18.88671875" customWidth="1"/>
  </cols>
  <sheetData>
    <row r="1" spans="1:19" ht="15.6" x14ac:dyDescent="0.3">
      <c r="A1" s="6" t="s">
        <v>205</v>
      </c>
      <c r="B1" s="6" t="s">
        <v>206</v>
      </c>
      <c r="C1" s="6" t="s">
        <v>207</v>
      </c>
      <c r="D1" s="6" t="s">
        <v>208</v>
      </c>
      <c r="E1" s="6" t="s">
        <v>209</v>
      </c>
      <c r="F1" s="6" t="s">
        <v>210</v>
      </c>
      <c r="G1" s="6" t="s">
        <v>211</v>
      </c>
      <c r="H1" s="6" t="s">
        <v>212</v>
      </c>
      <c r="I1" s="6" t="s">
        <v>213</v>
      </c>
      <c r="J1" s="6" t="s">
        <v>214</v>
      </c>
      <c r="K1" s="6" t="s">
        <v>215</v>
      </c>
    </row>
    <row r="2" spans="1:19" x14ac:dyDescent="0.3">
      <c r="A2">
        <v>9</v>
      </c>
      <c r="B2">
        <v>16</v>
      </c>
      <c r="C2">
        <f>SUM(A2:B2)</f>
        <v>25</v>
      </c>
      <c r="D2">
        <f>A2*B2</f>
        <v>144</v>
      </c>
      <c r="E2" s="12">
        <f>A2/B2</f>
        <v>0.5625</v>
      </c>
      <c r="F2">
        <f>B2-A2</f>
        <v>7</v>
      </c>
      <c r="G2">
        <f>A2*A2</f>
        <v>81</v>
      </c>
      <c r="H2">
        <f>G2*A2</f>
        <v>729</v>
      </c>
      <c r="I2">
        <f>MIN(A2:B2)</f>
        <v>9</v>
      </c>
      <c r="J2">
        <f>MAX(A2:B2)</f>
        <v>16</v>
      </c>
      <c r="K2">
        <f>AVERAGE(A2:B2)</f>
        <v>12.5</v>
      </c>
      <c r="P2" s="14"/>
      <c r="Q2" s="13"/>
      <c r="R2" s="13"/>
      <c r="S2" s="13"/>
    </row>
    <row r="3" spans="1:19" x14ac:dyDescent="0.3">
      <c r="A3">
        <v>7</v>
      </c>
      <c r="B3">
        <v>10</v>
      </c>
      <c r="C3">
        <f t="shared" ref="C3:C23" si="0">SUM(A3:B3)</f>
        <v>17</v>
      </c>
      <c r="D3">
        <f t="shared" ref="D3:D23" si="1">A3*B3</f>
        <v>70</v>
      </c>
      <c r="E3" s="12">
        <f t="shared" ref="E3:E23" si="2">A3/B3</f>
        <v>0.7</v>
      </c>
      <c r="F3">
        <f t="shared" ref="F3:F23" si="3">B3-A3</f>
        <v>3</v>
      </c>
      <c r="G3">
        <f t="shared" ref="G3:G23" si="4">A3*A3</f>
        <v>49</v>
      </c>
      <c r="H3">
        <f t="shared" ref="H3:H23" si="5">G3*A3</f>
        <v>343</v>
      </c>
      <c r="I3">
        <f t="shared" ref="I3:I23" si="6">MIN(A3:B3)</f>
        <v>7</v>
      </c>
      <c r="J3">
        <f t="shared" ref="J3:J23" si="7">MAX(A3:B3)</f>
        <v>10</v>
      </c>
      <c r="K3">
        <f t="shared" ref="K3:K23" si="8">AVERAGE(A3:B3)</f>
        <v>8.5</v>
      </c>
      <c r="P3" s="13"/>
      <c r="Q3" s="13"/>
      <c r="R3" s="13"/>
      <c r="S3" s="13"/>
    </row>
    <row r="4" spans="1:19" x14ac:dyDescent="0.3">
      <c r="A4">
        <v>11</v>
      </c>
      <c r="B4">
        <v>14</v>
      </c>
      <c r="C4">
        <f t="shared" si="0"/>
        <v>25</v>
      </c>
      <c r="D4">
        <f t="shared" si="1"/>
        <v>154</v>
      </c>
      <c r="E4" s="12">
        <f t="shared" si="2"/>
        <v>0.7857142857142857</v>
      </c>
      <c r="F4">
        <f t="shared" si="3"/>
        <v>3</v>
      </c>
      <c r="G4">
        <f t="shared" si="4"/>
        <v>121</v>
      </c>
      <c r="H4">
        <f t="shared" si="5"/>
        <v>1331</v>
      </c>
      <c r="I4">
        <f t="shared" si="6"/>
        <v>11</v>
      </c>
      <c r="J4">
        <f t="shared" si="7"/>
        <v>14</v>
      </c>
      <c r="K4">
        <f t="shared" si="8"/>
        <v>12.5</v>
      </c>
      <c r="P4" s="13"/>
      <c r="Q4" s="13"/>
      <c r="R4" s="13"/>
      <c r="S4" s="13"/>
    </row>
    <row r="5" spans="1:19" x14ac:dyDescent="0.3">
      <c r="A5">
        <v>12</v>
      </c>
      <c r="B5">
        <v>5</v>
      </c>
      <c r="C5">
        <f t="shared" si="0"/>
        <v>17</v>
      </c>
      <c r="D5">
        <f t="shared" si="1"/>
        <v>60</v>
      </c>
      <c r="E5" s="12">
        <f t="shared" si="2"/>
        <v>2.4</v>
      </c>
      <c r="F5">
        <f t="shared" si="3"/>
        <v>-7</v>
      </c>
      <c r="G5">
        <f t="shared" si="4"/>
        <v>144</v>
      </c>
      <c r="H5">
        <f t="shared" si="5"/>
        <v>1728</v>
      </c>
      <c r="I5">
        <f t="shared" si="6"/>
        <v>5</v>
      </c>
      <c r="J5">
        <f t="shared" si="7"/>
        <v>12</v>
      </c>
      <c r="K5">
        <f t="shared" si="8"/>
        <v>8.5</v>
      </c>
      <c r="P5" s="13"/>
      <c r="Q5" s="13"/>
      <c r="R5" s="13"/>
      <c r="S5" s="13"/>
    </row>
    <row r="6" spans="1:19" x14ac:dyDescent="0.3">
      <c r="A6">
        <v>14</v>
      </c>
      <c r="B6">
        <v>16</v>
      </c>
      <c r="C6">
        <f t="shared" si="0"/>
        <v>30</v>
      </c>
      <c r="D6">
        <f t="shared" si="1"/>
        <v>224</v>
      </c>
      <c r="E6" s="12">
        <f t="shared" si="2"/>
        <v>0.875</v>
      </c>
      <c r="F6">
        <f t="shared" si="3"/>
        <v>2</v>
      </c>
      <c r="G6">
        <f t="shared" si="4"/>
        <v>196</v>
      </c>
      <c r="H6">
        <f t="shared" si="5"/>
        <v>2744</v>
      </c>
      <c r="I6">
        <f t="shared" si="6"/>
        <v>14</v>
      </c>
      <c r="J6">
        <f t="shared" si="7"/>
        <v>16</v>
      </c>
      <c r="K6">
        <f t="shared" si="8"/>
        <v>15</v>
      </c>
    </row>
    <row r="7" spans="1:19" x14ac:dyDescent="0.3">
      <c r="A7">
        <v>11</v>
      </c>
      <c r="B7">
        <v>10</v>
      </c>
      <c r="C7">
        <f t="shared" si="0"/>
        <v>21</v>
      </c>
      <c r="D7">
        <f t="shared" si="1"/>
        <v>110</v>
      </c>
      <c r="E7" s="12">
        <f t="shared" si="2"/>
        <v>1.1000000000000001</v>
      </c>
      <c r="F7">
        <f t="shared" si="3"/>
        <v>-1</v>
      </c>
      <c r="G7">
        <f t="shared" si="4"/>
        <v>121</v>
      </c>
      <c r="H7">
        <f t="shared" si="5"/>
        <v>1331</v>
      </c>
      <c r="I7">
        <f t="shared" si="6"/>
        <v>10</v>
      </c>
      <c r="J7">
        <f t="shared" si="7"/>
        <v>11</v>
      </c>
      <c r="K7">
        <f t="shared" si="8"/>
        <v>10.5</v>
      </c>
    </row>
    <row r="8" spans="1:19" x14ac:dyDescent="0.3">
      <c r="A8">
        <v>5</v>
      </c>
      <c r="B8">
        <v>11</v>
      </c>
      <c r="C8">
        <f t="shared" si="0"/>
        <v>16</v>
      </c>
      <c r="D8">
        <f t="shared" si="1"/>
        <v>55</v>
      </c>
      <c r="E8" s="12">
        <f t="shared" si="2"/>
        <v>0.45454545454545453</v>
      </c>
      <c r="F8">
        <f t="shared" si="3"/>
        <v>6</v>
      </c>
      <c r="G8">
        <f t="shared" si="4"/>
        <v>25</v>
      </c>
      <c r="H8">
        <f t="shared" si="5"/>
        <v>125</v>
      </c>
      <c r="I8">
        <f t="shared" si="6"/>
        <v>5</v>
      </c>
      <c r="J8">
        <f t="shared" si="7"/>
        <v>11</v>
      </c>
      <c r="K8">
        <f t="shared" si="8"/>
        <v>8</v>
      </c>
    </row>
    <row r="9" spans="1:19" x14ac:dyDescent="0.3">
      <c r="A9">
        <v>5</v>
      </c>
      <c r="B9">
        <v>8</v>
      </c>
      <c r="C9">
        <f t="shared" si="0"/>
        <v>13</v>
      </c>
      <c r="D9">
        <f t="shared" si="1"/>
        <v>40</v>
      </c>
      <c r="E9" s="12">
        <f t="shared" si="2"/>
        <v>0.625</v>
      </c>
      <c r="F9">
        <f t="shared" si="3"/>
        <v>3</v>
      </c>
      <c r="G9">
        <f t="shared" si="4"/>
        <v>25</v>
      </c>
      <c r="H9">
        <f t="shared" si="5"/>
        <v>125</v>
      </c>
      <c r="I9">
        <f t="shared" si="6"/>
        <v>5</v>
      </c>
      <c r="J9">
        <f t="shared" si="7"/>
        <v>8</v>
      </c>
      <c r="K9">
        <f t="shared" si="8"/>
        <v>6.5</v>
      </c>
    </row>
    <row r="10" spans="1:19" x14ac:dyDescent="0.3">
      <c r="A10">
        <v>8</v>
      </c>
      <c r="B10">
        <v>5</v>
      </c>
      <c r="C10">
        <f t="shared" si="0"/>
        <v>13</v>
      </c>
      <c r="D10">
        <f t="shared" si="1"/>
        <v>40</v>
      </c>
      <c r="E10" s="12">
        <f t="shared" si="2"/>
        <v>1.6</v>
      </c>
      <c r="F10">
        <f t="shared" si="3"/>
        <v>-3</v>
      </c>
      <c r="G10">
        <f t="shared" si="4"/>
        <v>64</v>
      </c>
      <c r="H10">
        <f t="shared" si="5"/>
        <v>512</v>
      </c>
      <c r="I10">
        <f t="shared" si="6"/>
        <v>5</v>
      </c>
      <c r="J10">
        <f t="shared" si="7"/>
        <v>8</v>
      </c>
      <c r="K10">
        <f t="shared" si="8"/>
        <v>6.5</v>
      </c>
    </row>
    <row r="11" spans="1:19" x14ac:dyDescent="0.3">
      <c r="A11">
        <v>9</v>
      </c>
      <c r="B11">
        <v>13</v>
      </c>
      <c r="C11">
        <f t="shared" si="0"/>
        <v>22</v>
      </c>
      <c r="D11">
        <f t="shared" si="1"/>
        <v>117</v>
      </c>
      <c r="E11" s="12">
        <f t="shared" si="2"/>
        <v>0.69230769230769229</v>
      </c>
      <c r="F11">
        <f t="shared" si="3"/>
        <v>4</v>
      </c>
      <c r="G11">
        <f t="shared" si="4"/>
        <v>81</v>
      </c>
      <c r="H11">
        <f t="shared" si="5"/>
        <v>729</v>
      </c>
      <c r="I11">
        <f t="shared" si="6"/>
        <v>9</v>
      </c>
      <c r="J11">
        <f t="shared" si="7"/>
        <v>13</v>
      </c>
      <c r="K11">
        <f t="shared" si="8"/>
        <v>11</v>
      </c>
    </row>
    <row r="12" spans="1:19" x14ac:dyDescent="0.3">
      <c r="A12">
        <v>16</v>
      </c>
      <c r="B12">
        <v>9</v>
      </c>
      <c r="C12">
        <f t="shared" si="0"/>
        <v>25</v>
      </c>
      <c r="D12">
        <f t="shared" si="1"/>
        <v>144</v>
      </c>
      <c r="E12" s="12">
        <f t="shared" si="2"/>
        <v>1.7777777777777777</v>
      </c>
      <c r="F12">
        <f t="shared" si="3"/>
        <v>-7</v>
      </c>
      <c r="G12">
        <f t="shared" si="4"/>
        <v>256</v>
      </c>
      <c r="H12">
        <f t="shared" si="5"/>
        <v>4096</v>
      </c>
      <c r="I12">
        <f t="shared" si="6"/>
        <v>9</v>
      </c>
      <c r="J12">
        <f t="shared" si="7"/>
        <v>16</v>
      </c>
      <c r="K12">
        <f t="shared" si="8"/>
        <v>12.5</v>
      </c>
    </row>
    <row r="13" spans="1:19" x14ac:dyDescent="0.3">
      <c r="A13">
        <v>10</v>
      </c>
      <c r="B13">
        <v>9</v>
      </c>
      <c r="C13">
        <f t="shared" si="0"/>
        <v>19</v>
      </c>
      <c r="D13">
        <f t="shared" si="1"/>
        <v>90</v>
      </c>
      <c r="E13" s="12">
        <f t="shared" si="2"/>
        <v>1.1111111111111112</v>
      </c>
      <c r="F13">
        <f t="shared" si="3"/>
        <v>-1</v>
      </c>
      <c r="G13">
        <f t="shared" si="4"/>
        <v>100</v>
      </c>
      <c r="H13">
        <f t="shared" si="5"/>
        <v>1000</v>
      </c>
      <c r="I13">
        <f t="shared" si="6"/>
        <v>9</v>
      </c>
      <c r="J13">
        <f t="shared" si="7"/>
        <v>10</v>
      </c>
      <c r="K13">
        <f t="shared" si="8"/>
        <v>9.5</v>
      </c>
    </row>
    <row r="14" spans="1:19" x14ac:dyDescent="0.3">
      <c r="A14">
        <v>13</v>
      </c>
      <c r="B14">
        <v>12</v>
      </c>
      <c r="C14">
        <f t="shared" si="0"/>
        <v>25</v>
      </c>
      <c r="D14">
        <f t="shared" si="1"/>
        <v>156</v>
      </c>
      <c r="E14" s="12">
        <f t="shared" si="2"/>
        <v>1.0833333333333333</v>
      </c>
      <c r="F14">
        <f t="shared" si="3"/>
        <v>-1</v>
      </c>
      <c r="G14">
        <f t="shared" si="4"/>
        <v>169</v>
      </c>
      <c r="H14">
        <f t="shared" si="5"/>
        <v>2197</v>
      </c>
      <c r="I14">
        <f t="shared" si="6"/>
        <v>12</v>
      </c>
      <c r="J14">
        <f t="shared" si="7"/>
        <v>13</v>
      </c>
      <c r="K14">
        <f t="shared" si="8"/>
        <v>12.5</v>
      </c>
    </row>
    <row r="15" spans="1:19" x14ac:dyDescent="0.3">
      <c r="A15">
        <v>7</v>
      </c>
      <c r="B15">
        <v>8</v>
      </c>
      <c r="C15">
        <f t="shared" si="0"/>
        <v>15</v>
      </c>
      <c r="D15">
        <f t="shared" si="1"/>
        <v>56</v>
      </c>
      <c r="E15" s="12">
        <f t="shared" si="2"/>
        <v>0.875</v>
      </c>
      <c r="F15">
        <f t="shared" si="3"/>
        <v>1</v>
      </c>
      <c r="G15">
        <f t="shared" si="4"/>
        <v>49</v>
      </c>
      <c r="H15">
        <f t="shared" si="5"/>
        <v>343</v>
      </c>
      <c r="I15">
        <f t="shared" si="6"/>
        <v>7</v>
      </c>
      <c r="J15">
        <f t="shared" si="7"/>
        <v>8</v>
      </c>
      <c r="K15">
        <f t="shared" si="8"/>
        <v>7.5</v>
      </c>
    </row>
    <row r="16" spans="1:19" x14ac:dyDescent="0.3">
      <c r="A16">
        <v>8</v>
      </c>
      <c r="B16">
        <v>9</v>
      </c>
      <c r="C16">
        <f t="shared" si="0"/>
        <v>17</v>
      </c>
      <c r="D16">
        <f t="shared" si="1"/>
        <v>72</v>
      </c>
      <c r="E16" s="12">
        <f t="shared" si="2"/>
        <v>0.88888888888888884</v>
      </c>
      <c r="F16">
        <f t="shared" si="3"/>
        <v>1</v>
      </c>
      <c r="G16">
        <f t="shared" si="4"/>
        <v>64</v>
      </c>
      <c r="H16">
        <f t="shared" si="5"/>
        <v>512</v>
      </c>
      <c r="I16">
        <f t="shared" si="6"/>
        <v>8</v>
      </c>
      <c r="J16">
        <f t="shared" si="7"/>
        <v>9</v>
      </c>
      <c r="K16">
        <f t="shared" si="8"/>
        <v>8.5</v>
      </c>
    </row>
    <row r="17" spans="1:11" x14ac:dyDescent="0.3">
      <c r="A17">
        <v>10</v>
      </c>
      <c r="B17">
        <v>13</v>
      </c>
      <c r="C17">
        <f t="shared" si="0"/>
        <v>23</v>
      </c>
      <c r="D17">
        <f t="shared" si="1"/>
        <v>130</v>
      </c>
      <c r="E17" s="12">
        <f t="shared" si="2"/>
        <v>0.76923076923076927</v>
      </c>
      <c r="F17">
        <f t="shared" si="3"/>
        <v>3</v>
      </c>
      <c r="G17">
        <f t="shared" si="4"/>
        <v>100</v>
      </c>
      <c r="H17">
        <f t="shared" si="5"/>
        <v>1000</v>
      </c>
      <c r="I17">
        <f t="shared" si="6"/>
        <v>10</v>
      </c>
      <c r="J17">
        <f t="shared" si="7"/>
        <v>13</v>
      </c>
      <c r="K17">
        <f t="shared" si="8"/>
        <v>11.5</v>
      </c>
    </row>
    <row r="18" spans="1:11" x14ac:dyDescent="0.3">
      <c r="A18">
        <v>9</v>
      </c>
      <c r="B18">
        <v>7</v>
      </c>
      <c r="C18">
        <f t="shared" si="0"/>
        <v>16</v>
      </c>
      <c r="D18">
        <f t="shared" si="1"/>
        <v>63</v>
      </c>
      <c r="E18" s="12">
        <f t="shared" si="2"/>
        <v>1.2857142857142858</v>
      </c>
      <c r="F18">
        <f t="shared" si="3"/>
        <v>-2</v>
      </c>
      <c r="G18">
        <f t="shared" si="4"/>
        <v>81</v>
      </c>
      <c r="H18">
        <f t="shared" si="5"/>
        <v>729</v>
      </c>
      <c r="I18">
        <f t="shared" si="6"/>
        <v>7</v>
      </c>
      <c r="J18">
        <f t="shared" si="7"/>
        <v>9</v>
      </c>
      <c r="K18">
        <f t="shared" si="8"/>
        <v>8</v>
      </c>
    </row>
    <row r="19" spans="1:11" x14ac:dyDescent="0.3">
      <c r="A19">
        <v>14</v>
      </c>
      <c r="B19">
        <v>11</v>
      </c>
      <c r="C19">
        <f t="shared" si="0"/>
        <v>25</v>
      </c>
      <c r="D19">
        <f t="shared" si="1"/>
        <v>154</v>
      </c>
      <c r="E19" s="12">
        <f t="shared" si="2"/>
        <v>1.2727272727272727</v>
      </c>
      <c r="F19">
        <f t="shared" si="3"/>
        <v>-3</v>
      </c>
      <c r="G19">
        <f t="shared" si="4"/>
        <v>196</v>
      </c>
      <c r="H19">
        <f t="shared" si="5"/>
        <v>2744</v>
      </c>
      <c r="I19">
        <f t="shared" si="6"/>
        <v>11</v>
      </c>
      <c r="J19">
        <f t="shared" si="7"/>
        <v>14</v>
      </c>
      <c r="K19">
        <f t="shared" si="8"/>
        <v>12.5</v>
      </c>
    </row>
    <row r="20" spans="1:11" x14ac:dyDescent="0.3">
      <c r="A20">
        <v>6</v>
      </c>
      <c r="B20">
        <v>5</v>
      </c>
      <c r="C20">
        <f t="shared" si="0"/>
        <v>11</v>
      </c>
      <c r="D20">
        <f t="shared" si="1"/>
        <v>30</v>
      </c>
      <c r="E20" s="12">
        <f t="shared" si="2"/>
        <v>1.2</v>
      </c>
      <c r="F20">
        <f t="shared" si="3"/>
        <v>-1</v>
      </c>
      <c r="G20">
        <f t="shared" si="4"/>
        <v>36</v>
      </c>
      <c r="H20">
        <f t="shared" si="5"/>
        <v>216</v>
      </c>
      <c r="I20">
        <f t="shared" si="6"/>
        <v>5</v>
      </c>
      <c r="J20">
        <f t="shared" si="7"/>
        <v>6</v>
      </c>
      <c r="K20">
        <f t="shared" si="8"/>
        <v>5.5</v>
      </c>
    </row>
    <row r="21" spans="1:11" x14ac:dyDescent="0.3">
      <c r="A21">
        <v>15</v>
      </c>
      <c r="B21">
        <v>8</v>
      </c>
      <c r="C21">
        <f t="shared" si="0"/>
        <v>23</v>
      </c>
      <c r="D21">
        <f t="shared" si="1"/>
        <v>120</v>
      </c>
      <c r="E21" s="12">
        <f t="shared" si="2"/>
        <v>1.875</v>
      </c>
      <c r="F21">
        <f t="shared" si="3"/>
        <v>-7</v>
      </c>
      <c r="G21">
        <f t="shared" si="4"/>
        <v>225</v>
      </c>
      <c r="H21">
        <f t="shared" si="5"/>
        <v>3375</v>
      </c>
      <c r="I21">
        <f t="shared" si="6"/>
        <v>8</v>
      </c>
      <c r="J21">
        <f t="shared" si="7"/>
        <v>15</v>
      </c>
      <c r="K21">
        <f t="shared" si="8"/>
        <v>11.5</v>
      </c>
    </row>
    <row r="22" spans="1:11" x14ac:dyDescent="0.3">
      <c r="A22">
        <v>11</v>
      </c>
      <c r="B22">
        <v>11</v>
      </c>
      <c r="C22">
        <f t="shared" si="0"/>
        <v>22</v>
      </c>
      <c r="D22">
        <f t="shared" si="1"/>
        <v>121</v>
      </c>
      <c r="E22" s="12">
        <f t="shared" si="2"/>
        <v>1</v>
      </c>
      <c r="F22">
        <f t="shared" si="3"/>
        <v>0</v>
      </c>
      <c r="G22">
        <f t="shared" si="4"/>
        <v>121</v>
      </c>
      <c r="H22">
        <f t="shared" si="5"/>
        <v>1331</v>
      </c>
      <c r="I22">
        <f t="shared" si="6"/>
        <v>11</v>
      </c>
      <c r="J22">
        <f t="shared" si="7"/>
        <v>11</v>
      </c>
      <c r="K22">
        <f t="shared" si="8"/>
        <v>11</v>
      </c>
    </row>
    <row r="23" spans="1:11" x14ac:dyDescent="0.3">
      <c r="A23">
        <v>8</v>
      </c>
      <c r="B23">
        <v>15</v>
      </c>
      <c r="C23">
        <f t="shared" si="0"/>
        <v>23</v>
      </c>
      <c r="D23">
        <f t="shared" si="1"/>
        <v>120</v>
      </c>
      <c r="E23" s="12">
        <f t="shared" si="2"/>
        <v>0.53333333333333333</v>
      </c>
      <c r="F23">
        <f t="shared" si="3"/>
        <v>7</v>
      </c>
      <c r="G23">
        <f t="shared" si="4"/>
        <v>64</v>
      </c>
      <c r="H23">
        <f t="shared" si="5"/>
        <v>512</v>
      </c>
      <c r="I23">
        <f t="shared" si="6"/>
        <v>8</v>
      </c>
      <c r="J23">
        <f t="shared" si="7"/>
        <v>15</v>
      </c>
      <c r="K23">
        <f t="shared" si="8"/>
        <v>11.5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0923-454E-41BC-A85D-BEF9AED5F553}">
  <dimension ref="A1:P12"/>
  <sheetViews>
    <sheetView topLeftCell="D1" zoomScale="133" zoomScaleNormal="160" workbookViewId="0">
      <selection activeCell="I4" sqref="I4"/>
    </sheetView>
  </sheetViews>
  <sheetFormatPr defaultRowHeight="14.4" x14ac:dyDescent="0.3"/>
  <cols>
    <col min="1" max="1" width="5.6640625" bestFit="1" customWidth="1"/>
    <col min="2" max="2" width="9.77734375" bestFit="1" customWidth="1"/>
    <col min="3" max="3" width="9.6640625" bestFit="1" customWidth="1"/>
    <col min="4" max="4" width="20.109375" customWidth="1"/>
    <col min="5" max="5" width="6.5546875" customWidth="1"/>
    <col min="6" max="6" width="6.6640625" customWidth="1"/>
    <col min="7" max="7" width="4.88671875" customWidth="1"/>
    <col min="8" max="8" width="9.5546875" bestFit="1" customWidth="1"/>
    <col min="9" max="9" width="8.33203125" bestFit="1" customWidth="1"/>
    <col min="10" max="10" width="9.88671875" bestFit="1" customWidth="1"/>
    <col min="11" max="11" width="8.5546875" customWidth="1"/>
    <col min="12" max="12" width="15.77734375" customWidth="1"/>
    <col min="13" max="13" width="16.88671875" bestFit="1" customWidth="1"/>
    <col min="14" max="14" width="13.6640625" customWidth="1"/>
    <col min="15" max="15" width="6.44140625" bestFit="1" customWidth="1"/>
    <col min="16" max="16" width="18" bestFit="1" customWidth="1"/>
  </cols>
  <sheetData>
    <row r="1" spans="1:16" x14ac:dyDescent="0.3">
      <c r="A1" s="7" t="s">
        <v>216</v>
      </c>
      <c r="B1" s="7" t="s">
        <v>3</v>
      </c>
      <c r="C1" s="7" t="s">
        <v>4</v>
      </c>
      <c r="D1" s="7" t="s">
        <v>217</v>
      </c>
      <c r="E1" s="7" t="s">
        <v>218</v>
      </c>
      <c r="F1" s="7" t="s">
        <v>219</v>
      </c>
      <c r="G1" s="7" t="s">
        <v>220</v>
      </c>
      <c r="H1" s="7" t="s">
        <v>221</v>
      </c>
      <c r="I1" s="7" t="s">
        <v>222</v>
      </c>
      <c r="J1" s="7" t="s">
        <v>223</v>
      </c>
      <c r="K1" s="7" t="s">
        <v>224</v>
      </c>
      <c r="L1" s="7" t="s">
        <v>225</v>
      </c>
      <c r="M1" s="7" t="s">
        <v>226</v>
      </c>
      <c r="N1" s="7" t="s">
        <v>227</v>
      </c>
      <c r="O1" s="7" t="s">
        <v>228</v>
      </c>
      <c r="P1" s="7" t="s">
        <v>229</v>
      </c>
    </row>
    <row r="2" spans="1:16" x14ac:dyDescent="0.3">
      <c r="A2" t="s">
        <v>230</v>
      </c>
      <c r="B2" t="s">
        <v>231</v>
      </c>
      <c r="C2" t="s">
        <v>232</v>
      </c>
      <c r="D2" t="str">
        <f>_xlfn.CONCAT(B2," ",C2)</f>
        <v>Shubham Kumar</v>
      </c>
      <c r="E2" t="str">
        <f>LEFT(B2,3)</f>
        <v>Shu</v>
      </c>
      <c r="F2" t="str">
        <f>RIGHT(B2,3)</f>
        <v>ham</v>
      </c>
      <c r="G2" t="str">
        <f>MID(B2,4,2)</f>
        <v>bh</v>
      </c>
      <c r="H2" t="str">
        <f>UPPER(B2)</f>
        <v>SHUBHAM</v>
      </c>
      <c r="I2" t="str">
        <f>LOWER(B2)</f>
        <v>shubham</v>
      </c>
      <c r="J2" t="str">
        <f>PROPER(H2)</f>
        <v>Shubham</v>
      </c>
      <c r="K2">
        <f>FIND("b",J2,1)</f>
        <v>4</v>
      </c>
      <c r="L2">
        <f>SEARCH("h",I2,1)</f>
        <v>2</v>
      </c>
      <c r="M2" t="str">
        <f>SUBSTITUTE(D2,"Kumar","Sanu")</f>
        <v>Shubham Sanu</v>
      </c>
      <c r="N2" t="str">
        <f>TEXT(10,"0")</f>
        <v>10</v>
      </c>
    </row>
    <row r="3" spans="1:16" x14ac:dyDescent="0.3">
      <c r="A3" t="s">
        <v>230</v>
      </c>
      <c r="B3" t="s">
        <v>234</v>
      </c>
      <c r="C3" t="s">
        <v>235</v>
      </c>
      <c r="D3" t="str">
        <f t="shared" ref="D3:D10" si="0">_xlfn.CONCAT(B3," ",C3)</f>
        <v>Ram Sahu</v>
      </c>
      <c r="E3" t="str">
        <f t="shared" ref="E3:E10" si="1">LEFT(B3,3)</f>
        <v>Ram</v>
      </c>
      <c r="F3" t="str">
        <f t="shared" ref="F3:F10" si="2">RIGHT(B3,3)</f>
        <v>Ram</v>
      </c>
      <c r="G3" t="str">
        <f t="shared" ref="G3:G10" si="3">MID(B3,4,2)</f>
        <v/>
      </c>
      <c r="H3" t="str">
        <f t="shared" ref="H3:H10" si="4">UPPER(B3)</f>
        <v>RAM</v>
      </c>
      <c r="I3" t="str">
        <f t="shared" ref="I3:I10" si="5">LOWER(B3)</f>
        <v>ram</v>
      </c>
      <c r="J3" t="str">
        <f t="shared" ref="J3:J10" si="6">PROPER(H3)</f>
        <v>Ram</v>
      </c>
      <c r="M3" t="str">
        <f t="shared" ref="M3:M10" si="7">SUBSTITUTE(D3,"Kumar","Sanu")</f>
        <v>Ram Sahu</v>
      </c>
      <c r="N3">
        <v>90</v>
      </c>
      <c r="P3" t="str">
        <f>REPLACE(M3,5,4,"Sonu")</f>
        <v>Ram Sonu</v>
      </c>
    </row>
    <row r="4" spans="1:16" x14ac:dyDescent="0.3">
      <c r="A4" t="s">
        <v>230</v>
      </c>
      <c r="B4" t="s">
        <v>236</v>
      </c>
      <c r="C4" t="s">
        <v>237</v>
      </c>
      <c r="D4" t="str">
        <f t="shared" si="0"/>
        <v>Mohan Pandey</v>
      </c>
      <c r="E4" t="str">
        <f t="shared" si="1"/>
        <v>Moh</v>
      </c>
      <c r="F4" t="str">
        <f t="shared" si="2"/>
        <v>han</v>
      </c>
      <c r="G4" t="str">
        <f t="shared" si="3"/>
        <v>an</v>
      </c>
      <c r="H4" t="str">
        <f t="shared" si="4"/>
        <v>MOHAN</v>
      </c>
      <c r="I4" t="str">
        <f t="shared" si="5"/>
        <v>mohan</v>
      </c>
      <c r="J4" t="str">
        <f t="shared" si="6"/>
        <v>Mohan</v>
      </c>
      <c r="M4" t="str">
        <f t="shared" si="7"/>
        <v>Mohan Pandey</v>
      </c>
      <c r="O4">
        <f>LEN(H2)</f>
        <v>7</v>
      </c>
    </row>
    <row r="5" spans="1:16" x14ac:dyDescent="0.3">
      <c r="A5" t="s">
        <v>233</v>
      </c>
      <c r="B5" t="s">
        <v>238</v>
      </c>
      <c r="C5" t="s">
        <v>239</v>
      </c>
      <c r="D5" t="str">
        <f t="shared" si="0"/>
        <v>Geeta Kumari</v>
      </c>
      <c r="E5" t="str">
        <f t="shared" si="1"/>
        <v>Gee</v>
      </c>
      <c r="F5" t="str">
        <f t="shared" si="2"/>
        <v>eta</v>
      </c>
      <c r="G5" t="str">
        <f t="shared" si="3"/>
        <v>ta</v>
      </c>
      <c r="H5" t="str">
        <f t="shared" si="4"/>
        <v>GEETA</v>
      </c>
      <c r="I5" t="str">
        <f t="shared" si="5"/>
        <v>geeta</v>
      </c>
      <c r="J5" t="str">
        <f t="shared" si="6"/>
        <v>Geeta</v>
      </c>
      <c r="M5" t="str">
        <f t="shared" si="7"/>
        <v>Geeta Sanui</v>
      </c>
    </row>
    <row r="6" spans="1:16" x14ac:dyDescent="0.3">
      <c r="A6" t="s">
        <v>233</v>
      </c>
      <c r="B6" t="s">
        <v>240</v>
      </c>
      <c r="C6" t="s">
        <v>241</v>
      </c>
      <c r="D6" t="str">
        <f t="shared" si="0"/>
        <v>Susheela Diwakar</v>
      </c>
      <c r="E6" t="str">
        <f t="shared" si="1"/>
        <v>Sus</v>
      </c>
      <c r="F6" t="str">
        <f t="shared" si="2"/>
        <v>ela</v>
      </c>
      <c r="G6" t="str">
        <f t="shared" si="3"/>
        <v>he</v>
      </c>
      <c r="H6" t="str">
        <f t="shared" si="4"/>
        <v>SUSHEELA</v>
      </c>
      <c r="I6" t="str">
        <f t="shared" si="5"/>
        <v>susheela</v>
      </c>
      <c r="J6" t="str">
        <f t="shared" si="6"/>
        <v>Susheela</v>
      </c>
      <c r="M6" t="str">
        <f t="shared" si="7"/>
        <v>Susheela Diwakar</v>
      </c>
    </row>
    <row r="7" spans="1:16" x14ac:dyDescent="0.3">
      <c r="A7" t="s">
        <v>233</v>
      </c>
      <c r="B7" t="s">
        <v>242</v>
      </c>
      <c r="C7" t="s">
        <v>243</v>
      </c>
      <c r="D7" t="str">
        <f t="shared" si="0"/>
        <v>Muskan Tiwari</v>
      </c>
      <c r="E7" t="str">
        <f t="shared" si="1"/>
        <v>Mus</v>
      </c>
      <c r="F7" t="str">
        <f t="shared" si="2"/>
        <v>kan</v>
      </c>
      <c r="G7" t="str">
        <f t="shared" si="3"/>
        <v>ka</v>
      </c>
      <c r="H7" t="str">
        <f t="shared" si="4"/>
        <v>MUSKAN</v>
      </c>
      <c r="I7" t="str">
        <f t="shared" si="5"/>
        <v>muskan</v>
      </c>
      <c r="J7" t="str">
        <f t="shared" si="6"/>
        <v>Muskan</v>
      </c>
      <c r="M7" t="str">
        <f t="shared" si="7"/>
        <v>Muskan Tiwari</v>
      </c>
    </row>
    <row r="8" spans="1:16" x14ac:dyDescent="0.3">
      <c r="A8" t="s">
        <v>230</v>
      </c>
      <c r="B8" t="s">
        <v>190</v>
      </c>
      <c r="C8" t="s">
        <v>244</v>
      </c>
      <c r="D8" t="str">
        <f t="shared" si="0"/>
        <v>Rohan Pal</v>
      </c>
      <c r="E8" t="str">
        <f t="shared" si="1"/>
        <v>Roh</v>
      </c>
      <c r="F8" t="str">
        <f t="shared" si="2"/>
        <v>han</v>
      </c>
      <c r="G8" t="str">
        <f t="shared" si="3"/>
        <v>an</v>
      </c>
      <c r="H8" t="str">
        <f t="shared" si="4"/>
        <v>ROHAN</v>
      </c>
      <c r="I8" t="str">
        <f t="shared" si="5"/>
        <v>rohan</v>
      </c>
      <c r="J8" t="str">
        <f t="shared" si="6"/>
        <v>Rohan</v>
      </c>
      <c r="M8" t="str">
        <f t="shared" si="7"/>
        <v>Rohan Pal</v>
      </c>
    </row>
    <row r="9" spans="1:16" x14ac:dyDescent="0.3">
      <c r="A9" t="s">
        <v>230</v>
      </c>
      <c r="B9" t="s">
        <v>175</v>
      </c>
      <c r="C9" t="s">
        <v>245</v>
      </c>
      <c r="D9" t="str">
        <f t="shared" si="0"/>
        <v>John Cena</v>
      </c>
      <c r="E9" t="str">
        <f t="shared" si="1"/>
        <v>Joh</v>
      </c>
      <c r="F9" t="str">
        <f t="shared" si="2"/>
        <v>ohn</v>
      </c>
      <c r="G9" t="str">
        <f t="shared" si="3"/>
        <v>n</v>
      </c>
      <c r="H9" t="str">
        <f t="shared" si="4"/>
        <v>JOHN</v>
      </c>
      <c r="I9" t="str">
        <f t="shared" si="5"/>
        <v>john</v>
      </c>
      <c r="J9" t="str">
        <f t="shared" si="6"/>
        <v>John</v>
      </c>
      <c r="M9" t="str">
        <f t="shared" si="7"/>
        <v>John Cena</v>
      </c>
    </row>
    <row r="10" spans="1:16" x14ac:dyDescent="0.3">
      <c r="A10" t="s">
        <v>230</v>
      </c>
      <c r="B10" t="s">
        <v>246</v>
      </c>
      <c r="C10" t="s">
        <v>247</v>
      </c>
      <c r="D10" t="str">
        <f t="shared" si="0"/>
        <v>Peter Parker</v>
      </c>
      <c r="E10" t="str">
        <f t="shared" si="1"/>
        <v>Pet</v>
      </c>
      <c r="F10" t="str">
        <f t="shared" si="2"/>
        <v>ter</v>
      </c>
      <c r="G10" t="str">
        <f t="shared" si="3"/>
        <v>er</v>
      </c>
      <c r="H10" t="str">
        <f t="shared" si="4"/>
        <v>PETER</v>
      </c>
      <c r="I10" t="str">
        <f t="shared" si="5"/>
        <v>peter</v>
      </c>
      <c r="J10" t="str">
        <f t="shared" si="6"/>
        <v>Peter</v>
      </c>
      <c r="M10" t="str">
        <f t="shared" si="7"/>
        <v>Peter Parker</v>
      </c>
    </row>
    <row r="12" spans="1:16" x14ac:dyDescent="0.3">
      <c r="L12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9CE1A-3C5C-49E9-8D0A-AD3DFF2EC16F}">
  <dimension ref="A1:I10"/>
  <sheetViews>
    <sheetView zoomScale="145" zoomScaleNormal="145" workbookViewId="0">
      <selection activeCell="E3" sqref="E3"/>
    </sheetView>
  </sheetViews>
  <sheetFormatPr defaultRowHeight="14.4" x14ac:dyDescent="0.3"/>
  <cols>
    <col min="1" max="1" width="8.44140625" bestFit="1" customWidth="1"/>
    <col min="2" max="2" width="5.109375" bestFit="1" customWidth="1"/>
    <col min="3" max="3" width="6.109375" bestFit="1" customWidth="1"/>
    <col min="4" max="4" width="6.77734375" bestFit="1" customWidth="1"/>
    <col min="5" max="5" width="20.21875" customWidth="1"/>
    <col min="6" max="6" width="12.77734375" bestFit="1" customWidth="1"/>
    <col min="7" max="7" width="12.21875" bestFit="1" customWidth="1"/>
    <col min="8" max="8" width="11" bestFit="1" customWidth="1"/>
    <col min="9" max="9" width="10.6640625" bestFit="1" customWidth="1"/>
  </cols>
  <sheetData>
    <row r="1" spans="1:9" x14ac:dyDescent="0.3">
      <c r="A1" s="8" t="s">
        <v>248</v>
      </c>
      <c r="B1" s="8" t="s">
        <v>181</v>
      </c>
      <c r="C1" s="8" t="s">
        <v>249</v>
      </c>
      <c r="D1" s="8" t="s">
        <v>250</v>
      </c>
      <c r="E1" s="8" t="s">
        <v>251</v>
      </c>
      <c r="F1" s="8" t="s">
        <v>252</v>
      </c>
      <c r="G1" s="8" t="s">
        <v>253</v>
      </c>
      <c r="H1" s="8" t="s">
        <v>254</v>
      </c>
      <c r="I1" s="8" t="s">
        <v>255</v>
      </c>
    </row>
    <row r="2" spans="1:9" ht="37.799999999999997" customHeight="1" x14ac:dyDescent="0.3">
      <c r="A2" t="s">
        <v>231</v>
      </c>
      <c r="B2">
        <v>78</v>
      </c>
      <c r="C2">
        <v>45</v>
      </c>
      <c r="D2">
        <v>22</v>
      </c>
      <c r="I2" s="12"/>
    </row>
    <row r="3" spans="1:9" ht="37.799999999999997" customHeight="1" x14ac:dyDescent="0.3">
      <c r="A3" t="s">
        <v>234</v>
      </c>
      <c r="B3">
        <v>63</v>
      </c>
      <c r="C3">
        <v>26</v>
      </c>
      <c r="D3">
        <v>-56</v>
      </c>
      <c r="E3" s="33" t="s">
        <v>424</v>
      </c>
      <c r="F3" s="34"/>
      <c r="I3" s="12"/>
    </row>
    <row r="4" spans="1:9" ht="37.799999999999997" customHeight="1" x14ac:dyDescent="0.3">
      <c r="A4" t="s">
        <v>236</v>
      </c>
      <c r="B4">
        <v>22</v>
      </c>
      <c r="C4">
        <v>67</v>
      </c>
      <c r="D4">
        <v>89</v>
      </c>
      <c r="E4" s="33" t="s">
        <v>425</v>
      </c>
      <c r="F4" s="34"/>
      <c r="I4" s="12"/>
    </row>
    <row r="5" spans="1:9" ht="37.799999999999997" customHeight="1" x14ac:dyDescent="0.3">
      <c r="A5" t="s">
        <v>238</v>
      </c>
      <c r="B5">
        <v>45</v>
      </c>
      <c r="C5">
        <v>54</v>
      </c>
      <c r="D5">
        <v>45</v>
      </c>
      <c r="E5" s="34"/>
      <c r="F5" s="34"/>
      <c r="I5" s="12"/>
    </row>
    <row r="6" spans="1:9" ht="37.799999999999997" customHeight="1" x14ac:dyDescent="0.3">
      <c r="A6" t="s">
        <v>240</v>
      </c>
      <c r="B6">
        <v>39</v>
      </c>
      <c r="C6">
        <v>84</v>
      </c>
      <c r="D6">
        <v>88</v>
      </c>
      <c r="E6" s="34"/>
      <c r="I6" s="12"/>
    </row>
    <row r="7" spans="1:9" ht="37.799999999999997" customHeight="1" x14ac:dyDescent="0.3">
      <c r="A7" t="s">
        <v>242</v>
      </c>
      <c r="B7">
        <v>18</v>
      </c>
      <c r="C7">
        <v>37</v>
      </c>
      <c r="D7">
        <v>75</v>
      </c>
      <c r="E7" s="34"/>
      <c r="I7" s="12"/>
    </row>
    <row r="8" spans="1:9" ht="37.799999999999997" customHeight="1" x14ac:dyDescent="0.3">
      <c r="A8" t="s">
        <v>190</v>
      </c>
      <c r="B8">
        <v>50</v>
      </c>
      <c r="C8">
        <v>73</v>
      </c>
      <c r="D8">
        <v>99</v>
      </c>
      <c r="E8" s="34"/>
      <c r="I8" s="12"/>
    </row>
    <row r="9" spans="1:9" ht="37.799999999999997" customHeight="1" x14ac:dyDescent="0.3">
      <c r="A9" t="s">
        <v>175</v>
      </c>
      <c r="B9">
        <v>50</v>
      </c>
      <c r="C9">
        <v>19</v>
      </c>
      <c r="D9">
        <v>79</v>
      </c>
      <c r="E9" s="34"/>
      <c r="I9" s="12"/>
    </row>
    <row r="10" spans="1:9" ht="37.799999999999997" customHeight="1" x14ac:dyDescent="0.3">
      <c r="A10" t="s">
        <v>246</v>
      </c>
      <c r="B10">
        <v>34</v>
      </c>
      <c r="C10">
        <v>44</v>
      </c>
      <c r="D10">
        <v>51</v>
      </c>
      <c r="E10" s="34"/>
      <c r="I10" s="12"/>
    </row>
  </sheetData>
  <hyperlinks>
    <hyperlink ref="E4" r:id="rId1" xr:uid="{297B985A-9DCB-4B8C-B670-E70A7CF4E5EF}"/>
    <hyperlink ref="E3" r:id="rId2" xr:uid="{5F776022-C89B-4130-BF49-63D9FF3FAFE4}"/>
  </hyperlinks>
  <pageMargins left="0.7" right="0.7" top="0.75" bottom="0.75" header="0.3" footer="0.3"/>
  <pageSetup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554F81A8-9392-4234-9C3D-B21D54D8C055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6A02A0AB-9DE6-47F2-B525-93A8AE5A9115}">
  <ds:schemaRefs>
    <ds:schemaRef ds:uri="http://www.w3.org/2001/XMLSchema"/>
    <ds:schemaRef ds:uri="http://microsoft.data.visualization.Client.Excel.LState/1.0"/>
  </ds:schemaRefs>
</ds:datastoreItem>
</file>

<file path=customXml/itemProps3.xml><?xml version="1.0" encoding="utf-8"?>
<ds:datastoreItem xmlns:ds="http://schemas.openxmlformats.org/officeDocument/2006/customXml" ds:itemID="{B86AA915-7B71-4872-9C66-3335635AD439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Day 1 Practice</vt:lpstr>
      <vt:lpstr>Day1InsertTab</vt:lpstr>
      <vt:lpstr>Day 2 Practice</vt:lpstr>
      <vt:lpstr>Sheet1</vt:lpstr>
      <vt:lpstr>Sheet3</vt:lpstr>
      <vt:lpstr>SalesData</vt:lpstr>
      <vt:lpstr>Day 3 Pratice</vt:lpstr>
      <vt:lpstr>Practice Maths Formule</vt:lpstr>
      <vt:lpstr>Practice Text Formule</vt:lpstr>
      <vt:lpstr>Practice Logical Formule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2026-07-17T05:20:48Z</dcterms:modified>
</cp:coreProperties>
</file>